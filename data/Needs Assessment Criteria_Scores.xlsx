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https://hntb.sharepoint.com/sites/dp_67985_BMPI_WA02/Shared Documents/WA02/2.0_Feas_Stdy/D. Existing Conditions and Needs Assessment/Needs Assessment/r2r_tool/data/"/>
    </mc:Choice>
  </mc:AlternateContent>
  <xr:revisionPtr revIDLastSave="1404" documentId="8_{7946392A-2ACF-41B0-B056-8AE476578779}" xr6:coauthVersionLast="47" xr6:coauthVersionMax="47" xr10:uidLastSave="{515DA79A-A557-4D04-A7E0-9D7D9801CC01}"/>
  <bookViews>
    <workbookView xWindow="-28920" yWindow="-120" windowWidth="29040" windowHeight="15840" activeTab="3" xr2:uid="{E1CAF611-0EF8-45C8-ADE8-F67A889F5FFF}"/>
  </bookViews>
  <sheets>
    <sheet name="data" sheetId="1" r:id="rId1"/>
    <sheet name="data_CLEAN" sheetId="6" r:id="rId2"/>
    <sheet name="data_SCORING" sheetId="8" r:id="rId3"/>
    <sheet name="data_MAPPING" sheetId="9" r:id="rId4"/>
    <sheet name="report" sheetId="10" r:id="rId5"/>
    <sheet name="SCORE_METHOD" sheetId="7" r:id="rId6"/>
    <sheet name="corridor_miles" sheetId="2" r:id="rId7"/>
    <sheet name="MultimodalConnectivity_Corridor" sheetId="3" r:id="rId8"/>
    <sheet name="data with previous weighted avg" sheetId="4" state="hidden" r:id="rId9"/>
  </sheets>
  <externalReferences>
    <externalReference r:id="rId10"/>
    <externalReference r:id="rId11"/>
  </externalReferences>
  <definedNames>
    <definedName name="_xlnm._FilterDatabase" localSheetId="0" hidden="1">data!$A$2:$AT$58</definedName>
    <definedName name="_xlnm._FilterDatabase" localSheetId="8" hidden="1">'data with previous weighted avg'!$A$2:$AE$58</definedName>
    <definedName name="_xlnm._FilterDatabase" localSheetId="1" hidden="1">data_CLEAN!$A$2:$Y$58</definedName>
    <definedName name="_xlnm._FilterDatabase" localSheetId="3" hidden="1">data_MAPPING!$A$1:$K$57</definedName>
    <definedName name="_xlnm._FilterDatabase" localSheetId="2" hidden="1">data_SCORING!$A$2:$Y$58</definedName>
    <definedName name="_xlnm.Database">MultimodalConnectivity_Corridor!$A$1:$K$57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6" i="7" l="1"/>
  <c r="B116" i="7"/>
  <c r="L11" i="9" s="1"/>
  <c r="C112" i="7"/>
  <c r="B112" i="7"/>
  <c r="M3" i="9" s="1"/>
  <c r="C111" i="7"/>
  <c r="B111" i="7"/>
  <c r="C110" i="7"/>
  <c r="B110" i="7"/>
  <c r="D54" i="7"/>
  <c r="E54" i="7" s="1"/>
  <c r="F54" i="7"/>
  <c r="D55" i="7"/>
  <c r="E55" i="7"/>
  <c r="F55" i="7"/>
  <c r="D56" i="7"/>
  <c r="E56" i="7" s="1"/>
  <c r="F56" i="7"/>
  <c r="D57" i="7"/>
  <c r="E57" i="7"/>
  <c r="F57" i="7"/>
  <c r="D58" i="7"/>
  <c r="E58" i="7"/>
  <c r="F58" i="7"/>
  <c r="D59" i="7"/>
  <c r="E59" i="7"/>
  <c r="F59" i="7"/>
  <c r="D60" i="7"/>
  <c r="E60" i="7"/>
  <c r="F60" i="7"/>
  <c r="D61" i="7"/>
  <c r="E61" i="7"/>
  <c r="F61" i="7"/>
  <c r="D62" i="7"/>
  <c r="E62" i="7" s="1"/>
  <c r="F62" i="7"/>
  <c r="D63" i="7"/>
  <c r="E63" i="7" s="1"/>
  <c r="F63" i="7"/>
  <c r="D64" i="7"/>
  <c r="E64" i="7"/>
  <c r="F64" i="7"/>
  <c r="D65" i="7"/>
  <c r="E65" i="7" s="1"/>
  <c r="F65" i="7"/>
  <c r="D66" i="7"/>
  <c r="E66" i="7" s="1"/>
  <c r="F66" i="7"/>
  <c r="D67" i="7"/>
  <c r="E67" i="7"/>
  <c r="F67" i="7"/>
  <c r="D68" i="7"/>
  <c r="E68" i="7"/>
  <c r="F68" i="7"/>
  <c r="D69" i="7"/>
  <c r="E69" i="7"/>
  <c r="F69" i="7"/>
  <c r="D70" i="7"/>
  <c r="E70" i="7" s="1"/>
  <c r="F70" i="7"/>
  <c r="D71" i="7"/>
  <c r="E71" i="7"/>
  <c r="F71" i="7"/>
  <c r="D72" i="7"/>
  <c r="E72" i="7" s="1"/>
  <c r="F72" i="7"/>
  <c r="D73" i="7"/>
  <c r="E73" i="7" s="1"/>
  <c r="F73" i="7"/>
  <c r="D74" i="7"/>
  <c r="E74" i="7"/>
  <c r="F74" i="7"/>
  <c r="D75" i="7"/>
  <c r="E75" i="7"/>
  <c r="F75" i="7"/>
  <c r="F53" i="7"/>
  <c r="D53" i="7"/>
  <c r="B45" i="7"/>
  <c r="B46" i="7"/>
  <c r="B47" i="7"/>
  <c r="B44" i="7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X33" i="8"/>
  <c r="X34" i="8"/>
  <c r="X35" i="8"/>
  <c r="X36" i="8"/>
  <c r="X37" i="8"/>
  <c r="X38" i="8"/>
  <c r="X39" i="8"/>
  <c r="X40" i="8"/>
  <c r="X41" i="8"/>
  <c r="X42" i="8"/>
  <c r="X43" i="8"/>
  <c r="X44" i="8"/>
  <c r="X45" i="8"/>
  <c r="X46" i="8"/>
  <c r="X47" i="8"/>
  <c r="X48" i="8"/>
  <c r="X49" i="8"/>
  <c r="X50" i="8"/>
  <c r="X51" i="8"/>
  <c r="X52" i="8"/>
  <c r="X53" i="8"/>
  <c r="X54" i="8"/>
  <c r="X55" i="8"/>
  <c r="X56" i="8"/>
  <c r="X57" i="8"/>
  <c r="X58" i="8"/>
  <c r="X3" i="8"/>
  <c r="W4" i="8"/>
  <c r="W5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35" i="8"/>
  <c r="W36" i="8"/>
  <c r="W37" i="8"/>
  <c r="W38" i="8"/>
  <c r="W39" i="8"/>
  <c r="W40" i="8"/>
  <c r="W41" i="8"/>
  <c r="W42" i="8"/>
  <c r="W43" i="8"/>
  <c r="W44" i="8"/>
  <c r="W45" i="8"/>
  <c r="W46" i="8"/>
  <c r="W47" i="8"/>
  <c r="W48" i="8"/>
  <c r="W49" i="8"/>
  <c r="W50" i="8"/>
  <c r="W51" i="8"/>
  <c r="W52" i="8"/>
  <c r="W53" i="8"/>
  <c r="W54" i="8"/>
  <c r="W55" i="8"/>
  <c r="W56" i="8"/>
  <c r="W57" i="8"/>
  <c r="W58" i="8"/>
  <c r="W3" i="8"/>
  <c r="V4" i="8"/>
  <c r="V5" i="8"/>
  <c r="V6" i="8"/>
  <c r="V7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V22" i="8"/>
  <c r="V23" i="8"/>
  <c r="V24" i="8"/>
  <c r="V25" i="8"/>
  <c r="V26" i="8"/>
  <c r="V27" i="8"/>
  <c r="V28" i="8"/>
  <c r="V29" i="8"/>
  <c r="V30" i="8"/>
  <c r="V31" i="8"/>
  <c r="V32" i="8"/>
  <c r="V33" i="8"/>
  <c r="V34" i="8"/>
  <c r="V35" i="8"/>
  <c r="V36" i="8"/>
  <c r="V37" i="8"/>
  <c r="V38" i="8"/>
  <c r="V39" i="8"/>
  <c r="V40" i="8"/>
  <c r="V41" i="8"/>
  <c r="V42" i="8"/>
  <c r="V43" i="8"/>
  <c r="V44" i="8"/>
  <c r="V45" i="8"/>
  <c r="V46" i="8"/>
  <c r="V47" i="8"/>
  <c r="V48" i="8"/>
  <c r="V49" i="8"/>
  <c r="V50" i="8"/>
  <c r="V51" i="8"/>
  <c r="V52" i="8"/>
  <c r="V53" i="8"/>
  <c r="V54" i="8"/>
  <c r="V55" i="8"/>
  <c r="V56" i="8"/>
  <c r="V57" i="8"/>
  <c r="V58" i="8"/>
  <c r="V3" i="8"/>
  <c r="U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44" i="8"/>
  <c r="U45" i="8"/>
  <c r="U46" i="8"/>
  <c r="U47" i="8"/>
  <c r="U48" i="8"/>
  <c r="U49" i="8"/>
  <c r="U50" i="8"/>
  <c r="U51" i="8"/>
  <c r="U52" i="8"/>
  <c r="U53" i="8"/>
  <c r="U54" i="8"/>
  <c r="U55" i="8"/>
  <c r="U56" i="8"/>
  <c r="U57" i="8"/>
  <c r="U58" i="8"/>
  <c r="U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3" i="8"/>
  <c r="S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8" i="8"/>
  <c r="S3" i="8"/>
  <c r="R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2" i="8"/>
  <c r="Y23" i="8"/>
  <c r="Y24" i="8"/>
  <c r="Y25" i="8"/>
  <c r="Y26" i="8"/>
  <c r="Y27" i="8"/>
  <c r="Y28" i="8"/>
  <c r="Y29" i="8"/>
  <c r="Y30" i="8"/>
  <c r="Y31" i="8"/>
  <c r="Y32" i="8"/>
  <c r="Y33" i="8"/>
  <c r="Y34" i="8"/>
  <c r="Y35" i="8"/>
  <c r="Y36" i="8"/>
  <c r="Y37" i="8"/>
  <c r="Y38" i="8"/>
  <c r="Y39" i="8"/>
  <c r="Y40" i="8"/>
  <c r="Y41" i="8"/>
  <c r="Y42" i="8"/>
  <c r="Y43" i="8"/>
  <c r="Y44" i="8"/>
  <c r="Y45" i="8"/>
  <c r="Y46" i="8"/>
  <c r="Y47" i="8"/>
  <c r="Y48" i="8"/>
  <c r="Y49" i="8"/>
  <c r="Y50" i="8"/>
  <c r="Y51" i="8"/>
  <c r="Y52" i="8"/>
  <c r="Y53" i="8"/>
  <c r="Y54" i="8"/>
  <c r="Y55" i="8"/>
  <c r="Y56" i="8"/>
  <c r="Y57" i="8"/>
  <c r="Y58" i="8"/>
  <c r="Y3" i="8"/>
  <c r="I4" i="8"/>
  <c r="J4" i="8"/>
  <c r="K4" i="8"/>
  <c r="I5" i="8"/>
  <c r="J5" i="8"/>
  <c r="K5" i="8"/>
  <c r="I6" i="8"/>
  <c r="J6" i="8"/>
  <c r="K6" i="8"/>
  <c r="I7" i="8"/>
  <c r="J7" i="8"/>
  <c r="K7" i="8"/>
  <c r="I8" i="8"/>
  <c r="J8" i="8"/>
  <c r="K8" i="8"/>
  <c r="I9" i="8"/>
  <c r="J9" i="8"/>
  <c r="K9" i="8"/>
  <c r="I10" i="8"/>
  <c r="J10" i="8"/>
  <c r="K10" i="8"/>
  <c r="I11" i="8"/>
  <c r="J11" i="8"/>
  <c r="K11" i="8"/>
  <c r="I12" i="8"/>
  <c r="J12" i="8"/>
  <c r="K12" i="8"/>
  <c r="I13" i="8"/>
  <c r="J13" i="8"/>
  <c r="K13" i="8"/>
  <c r="I14" i="8"/>
  <c r="J14" i="8"/>
  <c r="K14" i="8"/>
  <c r="I15" i="8"/>
  <c r="J15" i="8"/>
  <c r="K15" i="8"/>
  <c r="I16" i="8"/>
  <c r="J16" i="8"/>
  <c r="K16" i="8"/>
  <c r="I17" i="8"/>
  <c r="J17" i="8"/>
  <c r="K17" i="8"/>
  <c r="I18" i="8"/>
  <c r="J18" i="8"/>
  <c r="K18" i="8"/>
  <c r="I19" i="8"/>
  <c r="J19" i="8"/>
  <c r="K19" i="8"/>
  <c r="I20" i="8"/>
  <c r="J20" i="8"/>
  <c r="K20" i="8"/>
  <c r="I21" i="8"/>
  <c r="J21" i="8"/>
  <c r="K21" i="8"/>
  <c r="I22" i="8"/>
  <c r="J22" i="8"/>
  <c r="K22" i="8"/>
  <c r="I23" i="8"/>
  <c r="J23" i="8"/>
  <c r="K23" i="8"/>
  <c r="I24" i="8"/>
  <c r="J24" i="8"/>
  <c r="K24" i="8"/>
  <c r="I25" i="8"/>
  <c r="J25" i="8"/>
  <c r="K25" i="8"/>
  <c r="I26" i="8"/>
  <c r="J26" i="8"/>
  <c r="K26" i="8"/>
  <c r="I27" i="8"/>
  <c r="J27" i="8"/>
  <c r="K27" i="8"/>
  <c r="I28" i="8"/>
  <c r="J28" i="8"/>
  <c r="K28" i="8"/>
  <c r="I29" i="8"/>
  <c r="J29" i="8"/>
  <c r="K29" i="8"/>
  <c r="I30" i="8"/>
  <c r="J30" i="8"/>
  <c r="K30" i="8"/>
  <c r="I31" i="8"/>
  <c r="J31" i="8"/>
  <c r="K31" i="8"/>
  <c r="I32" i="8"/>
  <c r="J32" i="8"/>
  <c r="K32" i="8"/>
  <c r="I33" i="8"/>
  <c r="J33" i="8"/>
  <c r="K33" i="8"/>
  <c r="I34" i="8"/>
  <c r="J34" i="8"/>
  <c r="K34" i="8"/>
  <c r="I35" i="8"/>
  <c r="J35" i="8"/>
  <c r="K35" i="8"/>
  <c r="I36" i="8"/>
  <c r="J36" i="8"/>
  <c r="K36" i="8"/>
  <c r="I37" i="8"/>
  <c r="J37" i="8"/>
  <c r="K37" i="8"/>
  <c r="I38" i="8"/>
  <c r="J38" i="8"/>
  <c r="K38" i="8"/>
  <c r="I39" i="8"/>
  <c r="J39" i="8"/>
  <c r="K39" i="8"/>
  <c r="I40" i="8"/>
  <c r="J40" i="8"/>
  <c r="K40" i="8"/>
  <c r="I41" i="8"/>
  <c r="J41" i="8"/>
  <c r="K41" i="8"/>
  <c r="I42" i="8"/>
  <c r="J42" i="8"/>
  <c r="K42" i="8"/>
  <c r="I43" i="8"/>
  <c r="J43" i="8"/>
  <c r="K43" i="8"/>
  <c r="I44" i="8"/>
  <c r="J44" i="8"/>
  <c r="K44" i="8"/>
  <c r="I45" i="8"/>
  <c r="J45" i="8"/>
  <c r="K45" i="8"/>
  <c r="I46" i="8"/>
  <c r="J46" i="8"/>
  <c r="K46" i="8"/>
  <c r="I47" i="8"/>
  <c r="J47" i="8"/>
  <c r="K47" i="8"/>
  <c r="I48" i="8"/>
  <c r="J48" i="8"/>
  <c r="K48" i="8"/>
  <c r="I49" i="8"/>
  <c r="J49" i="8"/>
  <c r="K49" i="8"/>
  <c r="I50" i="8"/>
  <c r="J50" i="8"/>
  <c r="K50" i="8"/>
  <c r="I51" i="8"/>
  <c r="J51" i="8"/>
  <c r="K51" i="8"/>
  <c r="I52" i="8"/>
  <c r="J52" i="8"/>
  <c r="K52" i="8"/>
  <c r="I53" i="8"/>
  <c r="J53" i="8"/>
  <c r="K53" i="8"/>
  <c r="I54" i="8"/>
  <c r="J54" i="8"/>
  <c r="K54" i="8"/>
  <c r="I55" i="8"/>
  <c r="J55" i="8"/>
  <c r="K55" i="8"/>
  <c r="I56" i="8"/>
  <c r="J56" i="8"/>
  <c r="K56" i="8"/>
  <c r="I57" i="8"/>
  <c r="J57" i="8"/>
  <c r="K57" i="8"/>
  <c r="I58" i="8"/>
  <c r="J58" i="8"/>
  <c r="K58" i="8"/>
  <c r="K3" i="8"/>
  <c r="J3" i="8"/>
  <c r="I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3" i="8"/>
  <c r="L10" i="9" l="1"/>
  <c r="M39" i="9"/>
  <c r="L9" i="9"/>
  <c r="M57" i="9"/>
  <c r="M55" i="9"/>
  <c r="M50" i="9"/>
  <c r="L2" i="9"/>
  <c r="L57" i="9"/>
  <c r="M49" i="9"/>
  <c r="M41" i="9"/>
  <c r="L49" i="9"/>
  <c r="L47" i="9"/>
  <c r="L42" i="9"/>
  <c r="M34" i="9"/>
  <c r="M33" i="9"/>
  <c r="L41" i="9"/>
  <c r="L33" i="9"/>
  <c r="M25" i="9"/>
  <c r="M23" i="9"/>
  <c r="L26" i="9"/>
  <c r="M18" i="9"/>
  <c r="L31" i="9"/>
  <c r="L25" i="9"/>
  <c r="M17" i="9"/>
  <c r="L17" i="9"/>
  <c r="M9" i="9"/>
  <c r="L15" i="9"/>
  <c r="M7" i="9"/>
  <c r="L56" i="9"/>
  <c r="L40" i="9"/>
  <c r="L24" i="9"/>
  <c r="L8" i="9"/>
  <c r="M48" i="9"/>
  <c r="M32" i="9"/>
  <c r="M16" i="9"/>
  <c r="L55" i="9"/>
  <c r="L39" i="9"/>
  <c r="L23" i="9"/>
  <c r="L7" i="9"/>
  <c r="M47" i="9"/>
  <c r="M31" i="9"/>
  <c r="M15" i="9"/>
  <c r="L54" i="9"/>
  <c r="L38" i="9"/>
  <c r="L22" i="9"/>
  <c r="L6" i="9"/>
  <c r="M46" i="9"/>
  <c r="M30" i="9"/>
  <c r="M14" i="9"/>
  <c r="L53" i="9"/>
  <c r="L37" i="9"/>
  <c r="L21" i="9"/>
  <c r="L5" i="9"/>
  <c r="M45" i="9"/>
  <c r="M29" i="9"/>
  <c r="M13" i="9"/>
  <c r="L52" i="9"/>
  <c r="L36" i="9"/>
  <c r="L20" i="9"/>
  <c r="L4" i="9"/>
  <c r="M44" i="9"/>
  <c r="M28" i="9"/>
  <c r="M12" i="9"/>
  <c r="L51" i="9"/>
  <c r="L35" i="9"/>
  <c r="L19" i="9"/>
  <c r="L3" i="9"/>
  <c r="M43" i="9"/>
  <c r="M27" i="9"/>
  <c r="M11" i="9"/>
  <c r="L50" i="9"/>
  <c r="L34" i="9"/>
  <c r="L18" i="9"/>
  <c r="M2" i="9"/>
  <c r="M42" i="9"/>
  <c r="M26" i="9"/>
  <c r="M10" i="9"/>
  <c r="L48" i="9"/>
  <c r="L32" i="9"/>
  <c r="L16" i="9"/>
  <c r="M56" i="9"/>
  <c r="M40" i="9"/>
  <c r="M24" i="9"/>
  <c r="M8" i="9"/>
  <c r="L46" i="9"/>
  <c r="L30" i="9"/>
  <c r="L14" i="9"/>
  <c r="M54" i="9"/>
  <c r="M38" i="9"/>
  <c r="M22" i="9"/>
  <c r="M6" i="9"/>
  <c r="L45" i="9"/>
  <c r="L29" i="9"/>
  <c r="L13" i="9"/>
  <c r="M53" i="9"/>
  <c r="M37" i="9"/>
  <c r="M21" i="9"/>
  <c r="M5" i="9"/>
  <c r="L44" i="9"/>
  <c r="L28" i="9"/>
  <c r="L12" i="9"/>
  <c r="M52" i="9"/>
  <c r="M36" i="9"/>
  <c r="M20" i="9"/>
  <c r="M4" i="9"/>
  <c r="L43" i="9"/>
  <c r="L27" i="9"/>
  <c r="M51" i="9"/>
  <c r="M35" i="9"/>
  <c r="M19" i="9"/>
  <c r="A44" i="7" a="1"/>
  <c r="A44" i="7" s="1"/>
  <c r="M7" i="7"/>
  <c r="M8" i="7"/>
  <c r="L7" i="7"/>
  <c r="L8" i="7"/>
  <c r="K8" i="7"/>
  <c r="K7" i="7"/>
  <c r="D31" i="7"/>
  <c r="D32" i="7"/>
  <c r="J7" i="7"/>
  <c r="J8" i="7"/>
  <c r="B31" i="7"/>
  <c r="B32" i="7"/>
  <c r="I8" i="7"/>
  <c r="I7" i="7"/>
  <c r="E7" i="7"/>
  <c r="F7" i="7"/>
  <c r="E8" i="7"/>
  <c r="F8" i="7"/>
  <c r="D8" i="7"/>
  <c r="D7" i="7"/>
  <c r="C8" i="7"/>
  <c r="C7" i="7"/>
  <c r="B8" i="7"/>
  <c r="B7" i="7"/>
  <c r="N58" i="6"/>
  <c r="M58" i="6"/>
  <c r="L58" i="6"/>
  <c r="L58" i="8" s="1"/>
  <c r="N57" i="6"/>
  <c r="M57" i="6"/>
  <c r="L57" i="6"/>
  <c r="L57" i="8" s="1"/>
  <c r="N56" i="6"/>
  <c r="M56" i="6"/>
  <c r="L56" i="6"/>
  <c r="L56" i="8" s="1"/>
  <c r="N55" i="6"/>
  <c r="M55" i="6"/>
  <c r="L55" i="6"/>
  <c r="L55" i="8" s="1"/>
  <c r="N54" i="6"/>
  <c r="M54" i="6"/>
  <c r="L54" i="6"/>
  <c r="L54" i="8" s="1"/>
  <c r="N53" i="6"/>
  <c r="M53" i="6"/>
  <c r="L53" i="6"/>
  <c r="L53" i="8" s="1"/>
  <c r="N52" i="6"/>
  <c r="M52" i="6"/>
  <c r="L52" i="6"/>
  <c r="L52" i="8" s="1"/>
  <c r="N51" i="6"/>
  <c r="M51" i="6"/>
  <c r="L51" i="6"/>
  <c r="L51" i="8" s="1"/>
  <c r="N50" i="6"/>
  <c r="M50" i="6"/>
  <c r="L50" i="6"/>
  <c r="L50" i="8" s="1"/>
  <c r="N49" i="6"/>
  <c r="M49" i="6"/>
  <c r="L49" i="6"/>
  <c r="L49" i="8" s="1"/>
  <c r="N48" i="6"/>
  <c r="M48" i="6"/>
  <c r="L48" i="6"/>
  <c r="L48" i="8" s="1"/>
  <c r="N47" i="6"/>
  <c r="M47" i="6"/>
  <c r="L47" i="6"/>
  <c r="L47" i="8" s="1"/>
  <c r="N46" i="6"/>
  <c r="M46" i="6"/>
  <c r="L46" i="6"/>
  <c r="L46" i="8" s="1"/>
  <c r="N45" i="6"/>
  <c r="M45" i="6"/>
  <c r="L45" i="6"/>
  <c r="L45" i="8" s="1"/>
  <c r="N44" i="6"/>
  <c r="M44" i="6"/>
  <c r="L44" i="6"/>
  <c r="L44" i="8" s="1"/>
  <c r="N43" i="6"/>
  <c r="M43" i="6"/>
  <c r="L43" i="6"/>
  <c r="L43" i="8" s="1"/>
  <c r="N42" i="6"/>
  <c r="M42" i="6"/>
  <c r="L42" i="6"/>
  <c r="L42" i="8" s="1"/>
  <c r="N41" i="6"/>
  <c r="M41" i="6"/>
  <c r="L41" i="6"/>
  <c r="L41" i="8" s="1"/>
  <c r="N40" i="6"/>
  <c r="M40" i="6"/>
  <c r="L40" i="6"/>
  <c r="L40" i="8" s="1"/>
  <c r="N39" i="6"/>
  <c r="M39" i="6"/>
  <c r="L39" i="6"/>
  <c r="L39" i="8" s="1"/>
  <c r="N38" i="6"/>
  <c r="M38" i="6"/>
  <c r="L38" i="6"/>
  <c r="L38" i="8" s="1"/>
  <c r="N37" i="6"/>
  <c r="M37" i="6"/>
  <c r="L37" i="6"/>
  <c r="L37" i="8" s="1"/>
  <c r="N36" i="6"/>
  <c r="M36" i="6"/>
  <c r="L36" i="6"/>
  <c r="L36" i="8" s="1"/>
  <c r="N35" i="6"/>
  <c r="M35" i="6"/>
  <c r="L35" i="6"/>
  <c r="L35" i="8" s="1"/>
  <c r="N34" i="6"/>
  <c r="M34" i="6"/>
  <c r="L34" i="6"/>
  <c r="L34" i="8" s="1"/>
  <c r="N33" i="6"/>
  <c r="M33" i="6"/>
  <c r="L33" i="6"/>
  <c r="L33" i="8" s="1"/>
  <c r="N32" i="6"/>
  <c r="M32" i="6"/>
  <c r="L32" i="6"/>
  <c r="L32" i="8" s="1"/>
  <c r="N31" i="6"/>
  <c r="M31" i="6"/>
  <c r="L31" i="6"/>
  <c r="L31" i="8" s="1"/>
  <c r="N30" i="6"/>
  <c r="M30" i="6"/>
  <c r="L30" i="6"/>
  <c r="L30" i="8" s="1"/>
  <c r="N29" i="6"/>
  <c r="M29" i="6"/>
  <c r="L29" i="6"/>
  <c r="L29" i="8" s="1"/>
  <c r="N28" i="6"/>
  <c r="M28" i="6"/>
  <c r="L28" i="6"/>
  <c r="L28" i="8" s="1"/>
  <c r="N27" i="6"/>
  <c r="M27" i="6"/>
  <c r="L27" i="6"/>
  <c r="L27" i="8" s="1"/>
  <c r="N26" i="6"/>
  <c r="M26" i="6"/>
  <c r="L26" i="6"/>
  <c r="L26" i="8" s="1"/>
  <c r="N25" i="6"/>
  <c r="M25" i="6"/>
  <c r="L25" i="6"/>
  <c r="L25" i="8" s="1"/>
  <c r="N24" i="6"/>
  <c r="M24" i="6"/>
  <c r="L24" i="6"/>
  <c r="L24" i="8" s="1"/>
  <c r="N23" i="6"/>
  <c r="M23" i="6"/>
  <c r="L23" i="6"/>
  <c r="L23" i="8" s="1"/>
  <c r="N22" i="6"/>
  <c r="M22" i="6"/>
  <c r="L22" i="6"/>
  <c r="L22" i="8" s="1"/>
  <c r="N21" i="6"/>
  <c r="M21" i="6"/>
  <c r="L21" i="6"/>
  <c r="L21" i="8" s="1"/>
  <c r="N20" i="6"/>
  <c r="M20" i="6"/>
  <c r="L20" i="6"/>
  <c r="L20" i="8" s="1"/>
  <c r="N19" i="6"/>
  <c r="M19" i="6"/>
  <c r="L19" i="6"/>
  <c r="L19" i="8" s="1"/>
  <c r="N18" i="6"/>
  <c r="M18" i="6"/>
  <c r="L18" i="6"/>
  <c r="L18" i="8" s="1"/>
  <c r="N17" i="6"/>
  <c r="M17" i="6"/>
  <c r="L17" i="6"/>
  <c r="L17" i="8" s="1"/>
  <c r="N16" i="6"/>
  <c r="M16" i="6"/>
  <c r="L16" i="6"/>
  <c r="L16" i="8" s="1"/>
  <c r="N15" i="6"/>
  <c r="M15" i="6"/>
  <c r="L15" i="6"/>
  <c r="L15" i="8" s="1"/>
  <c r="N14" i="6"/>
  <c r="M14" i="6"/>
  <c r="L14" i="6"/>
  <c r="L14" i="8" s="1"/>
  <c r="N13" i="6"/>
  <c r="M13" i="6"/>
  <c r="L13" i="6"/>
  <c r="L13" i="8" s="1"/>
  <c r="N12" i="6"/>
  <c r="M12" i="6"/>
  <c r="L12" i="6"/>
  <c r="L12" i="8" s="1"/>
  <c r="N11" i="6"/>
  <c r="M11" i="6"/>
  <c r="L11" i="6"/>
  <c r="L11" i="8" s="1"/>
  <c r="N10" i="6"/>
  <c r="M10" i="6"/>
  <c r="L10" i="6"/>
  <c r="L10" i="8" s="1"/>
  <c r="N9" i="6"/>
  <c r="M9" i="6"/>
  <c r="L9" i="6"/>
  <c r="L9" i="8" s="1"/>
  <c r="N8" i="6"/>
  <c r="M8" i="6"/>
  <c r="L8" i="6"/>
  <c r="L8" i="8" s="1"/>
  <c r="N7" i="6"/>
  <c r="M7" i="6"/>
  <c r="L7" i="6"/>
  <c r="L7" i="8" s="1"/>
  <c r="N6" i="6"/>
  <c r="M6" i="6"/>
  <c r="L6" i="6"/>
  <c r="L6" i="8" s="1"/>
  <c r="N5" i="6"/>
  <c r="M5" i="6"/>
  <c r="L5" i="6"/>
  <c r="L5" i="8" s="1"/>
  <c r="N4" i="6"/>
  <c r="M4" i="6"/>
  <c r="L4" i="6"/>
  <c r="L4" i="8" s="1"/>
  <c r="N3" i="6"/>
  <c r="M3" i="6"/>
  <c r="L3" i="6"/>
  <c r="L3" i="8" s="1"/>
  <c r="H7" i="7" l="1"/>
  <c r="N9" i="8" s="1"/>
  <c r="H8" i="7"/>
  <c r="G7" i="7"/>
  <c r="M19" i="8" s="1"/>
  <c r="G8" i="7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3" i="1"/>
  <c r="T4" i="1"/>
  <c r="X4" i="1" s="1"/>
  <c r="U4" i="1"/>
  <c r="Y4" i="1" s="1"/>
  <c r="V4" i="1"/>
  <c r="Z4" i="1" s="1"/>
  <c r="W4" i="1"/>
  <c r="AA4" i="1" s="1"/>
  <c r="T5" i="1"/>
  <c r="X5" i="1" s="1"/>
  <c r="U5" i="1"/>
  <c r="Y5" i="1" s="1"/>
  <c r="V5" i="1"/>
  <c r="Z5" i="1" s="1"/>
  <c r="W5" i="1"/>
  <c r="AA5" i="1" s="1"/>
  <c r="T6" i="1"/>
  <c r="X6" i="1" s="1"/>
  <c r="U6" i="1"/>
  <c r="Y6" i="1" s="1"/>
  <c r="V6" i="1"/>
  <c r="Z6" i="1" s="1"/>
  <c r="W6" i="1"/>
  <c r="AA6" i="1" s="1"/>
  <c r="T7" i="1"/>
  <c r="X7" i="1" s="1"/>
  <c r="U7" i="1"/>
  <c r="Y7" i="1" s="1"/>
  <c r="V7" i="1"/>
  <c r="Z7" i="1" s="1"/>
  <c r="W7" i="1"/>
  <c r="AA7" i="1" s="1"/>
  <c r="AC7" i="1" s="1"/>
  <c r="T8" i="1"/>
  <c r="X8" i="1" s="1"/>
  <c r="U8" i="1"/>
  <c r="Y8" i="1" s="1"/>
  <c r="V8" i="1"/>
  <c r="Z8" i="1" s="1"/>
  <c r="W8" i="1"/>
  <c r="AA8" i="1" s="1"/>
  <c r="T9" i="1"/>
  <c r="X9" i="1" s="1"/>
  <c r="U9" i="1"/>
  <c r="Y9" i="1" s="1"/>
  <c r="V9" i="1"/>
  <c r="Z9" i="1" s="1"/>
  <c r="W9" i="1"/>
  <c r="AA9" i="1" s="1"/>
  <c r="T10" i="1"/>
  <c r="X10" i="1" s="1"/>
  <c r="U10" i="1"/>
  <c r="Y10" i="1" s="1"/>
  <c r="V10" i="1"/>
  <c r="Z10" i="1" s="1"/>
  <c r="W10" i="1"/>
  <c r="AA10" i="1" s="1"/>
  <c r="T11" i="1"/>
  <c r="X11" i="1" s="1"/>
  <c r="AB11" i="1" s="1"/>
  <c r="U11" i="1"/>
  <c r="Y11" i="1" s="1"/>
  <c r="V11" i="1"/>
  <c r="Z11" i="1" s="1"/>
  <c r="W11" i="1"/>
  <c r="AA11" i="1" s="1"/>
  <c r="T12" i="1"/>
  <c r="X12" i="1" s="1"/>
  <c r="U12" i="1"/>
  <c r="Y12" i="1" s="1"/>
  <c r="V12" i="1"/>
  <c r="Z12" i="1" s="1"/>
  <c r="W12" i="1"/>
  <c r="AA12" i="1" s="1"/>
  <c r="T13" i="1"/>
  <c r="X13" i="1" s="1"/>
  <c r="U13" i="1"/>
  <c r="Y13" i="1" s="1"/>
  <c r="V13" i="1"/>
  <c r="Z13" i="1" s="1"/>
  <c r="AC13" i="1" s="1"/>
  <c r="W13" i="1"/>
  <c r="AA13" i="1" s="1"/>
  <c r="T14" i="1"/>
  <c r="X14" i="1" s="1"/>
  <c r="U14" i="1"/>
  <c r="Y14" i="1" s="1"/>
  <c r="V14" i="1"/>
  <c r="Z14" i="1" s="1"/>
  <c r="W14" i="1"/>
  <c r="AA14" i="1" s="1"/>
  <c r="T15" i="1"/>
  <c r="X15" i="1" s="1"/>
  <c r="U15" i="1"/>
  <c r="Y15" i="1" s="1"/>
  <c r="V15" i="1"/>
  <c r="Z15" i="1" s="1"/>
  <c r="W15" i="1"/>
  <c r="AA15" i="1" s="1"/>
  <c r="AC15" i="1" s="1"/>
  <c r="T16" i="1"/>
  <c r="X16" i="1" s="1"/>
  <c r="U16" i="1"/>
  <c r="Y16" i="1" s="1"/>
  <c r="V16" i="1"/>
  <c r="Z16" i="1" s="1"/>
  <c r="W16" i="1"/>
  <c r="AA16" i="1" s="1"/>
  <c r="T17" i="1"/>
  <c r="X17" i="1" s="1"/>
  <c r="U17" i="1"/>
  <c r="Y17" i="1" s="1"/>
  <c r="V17" i="1"/>
  <c r="Z17" i="1" s="1"/>
  <c r="W17" i="1"/>
  <c r="AA17" i="1" s="1"/>
  <c r="T18" i="1"/>
  <c r="X18" i="1" s="1"/>
  <c r="U18" i="1"/>
  <c r="Y18" i="1" s="1"/>
  <c r="V18" i="1"/>
  <c r="Z18" i="1" s="1"/>
  <c r="W18" i="1"/>
  <c r="AA18" i="1" s="1"/>
  <c r="T19" i="1"/>
  <c r="X19" i="1" s="1"/>
  <c r="AB19" i="1" s="1"/>
  <c r="U19" i="1"/>
  <c r="Y19" i="1" s="1"/>
  <c r="V19" i="1"/>
  <c r="Z19" i="1" s="1"/>
  <c r="W19" i="1"/>
  <c r="AA19" i="1" s="1"/>
  <c r="T20" i="1"/>
  <c r="X20" i="1" s="1"/>
  <c r="U20" i="1"/>
  <c r="Y20" i="1" s="1"/>
  <c r="V20" i="1"/>
  <c r="Z20" i="1" s="1"/>
  <c r="W20" i="1"/>
  <c r="AA20" i="1" s="1"/>
  <c r="T21" i="1"/>
  <c r="X21" i="1" s="1"/>
  <c r="U21" i="1"/>
  <c r="Y21" i="1" s="1"/>
  <c r="V21" i="1"/>
  <c r="Z21" i="1" s="1"/>
  <c r="AC21" i="1" s="1"/>
  <c r="W21" i="1"/>
  <c r="AA21" i="1" s="1"/>
  <c r="T22" i="1"/>
  <c r="X22" i="1" s="1"/>
  <c r="U22" i="1"/>
  <c r="Y22" i="1" s="1"/>
  <c r="V22" i="1"/>
  <c r="Z22" i="1" s="1"/>
  <c r="W22" i="1"/>
  <c r="AA22" i="1" s="1"/>
  <c r="T23" i="1"/>
  <c r="X23" i="1" s="1"/>
  <c r="U23" i="1"/>
  <c r="Y23" i="1" s="1"/>
  <c r="V23" i="1"/>
  <c r="Z23" i="1" s="1"/>
  <c r="W23" i="1"/>
  <c r="AA23" i="1" s="1"/>
  <c r="AC23" i="1" s="1"/>
  <c r="T24" i="1"/>
  <c r="X24" i="1" s="1"/>
  <c r="U24" i="1"/>
  <c r="Y24" i="1" s="1"/>
  <c r="V24" i="1"/>
  <c r="Z24" i="1" s="1"/>
  <c r="W24" i="1"/>
  <c r="AA24" i="1" s="1"/>
  <c r="T25" i="1"/>
  <c r="X25" i="1" s="1"/>
  <c r="U25" i="1"/>
  <c r="Y25" i="1" s="1"/>
  <c r="V25" i="1"/>
  <c r="Z25" i="1" s="1"/>
  <c r="W25" i="1"/>
  <c r="AA25" i="1" s="1"/>
  <c r="T26" i="1"/>
  <c r="X26" i="1" s="1"/>
  <c r="U26" i="1"/>
  <c r="Y26" i="1" s="1"/>
  <c r="V26" i="1"/>
  <c r="Z26" i="1" s="1"/>
  <c r="W26" i="1"/>
  <c r="AA26" i="1" s="1"/>
  <c r="T27" i="1"/>
  <c r="X27" i="1" s="1"/>
  <c r="U27" i="1"/>
  <c r="Y27" i="1" s="1"/>
  <c r="V27" i="1"/>
  <c r="Z27" i="1" s="1"/>
  <c r="W27" i="1"/>
  <c r="AA27" i="1" s="1"/>
  <c r="T28" i="1"/>
  <c r="X28" i="1" s="1"/>
  <c r="AB28" i="1" s="1"/>
  <c r="U28" i="1"/>
  <c r="Y28" i="1" s="1"/>
  <c r="V28" i="1"/>
  <c r="Z28" i="1" s="1"/>
  <c r="W28" i="1"/>
  <c r="AA28" i="1" s="1"/>
  <c r="T29" i="1"/>
  <c r="X29" i="1" s="1"/>
  <c r="U29" i="1"/>
  <c r="Y29" i="1" s="1"/>
  <c r="V29" i="1"/>
  <c r="Z29" i="1" s="1"/>
  <c r="AC29" i="1" s="1"/>
  <c r="W29" i="1"/>
  <c r="AA29" i="1" s="1"/>
  <c r="T30" i="1"/>
  <c r="X30" i="1" s="1"/>
  <c r="U30" i="1"/>
  <c r="Y30" i="1" s="1"/>
  <c r="V30" i="1"/>
  <c r="Z30" i="1" s="1"/>
  <c r="W30" i="1"/>
  <c r="AA30" i="1" s="1"/>
  <c r="T31" i="1"/>
  <c r="X31" i="1" s="1"/>
  <c r="U31" i="1"/>
  <c r="Y31" i="1" s="1"/>
  <c r="V31" i="1"/>
  <c r="Z31" i="1" s="1"/>
  <c r="W31" i="1"/>
  <c r="AA31" i="1" s="1"/>
  <c r="AC31" i="1" s="1"/>
  <c r="T32" i="1"/>
  <c r="X32" i="1" s="1"/>
  <c r="AB32" i="1" s="1"/>
  <c r="U32" i="1"/>
  <c r="Y32" i="1" s="1"/>
  <c r="V32" i="1"/>
  <c r="Z32" i="1" s="1"/>
  <c r="W32" i="1"/>
  <c r="AA32" i="1" s="1"/>
  <c r="T33" i="1"/>
  <c r="X33" i="1" s="1"/>
  <c r="U33" i="1"/>
  <c r="Y33" i="1" s="1"/>
  <c r="V33" i="1"/>
  <c r="Z33" i="1" s="1"/>
  <c r="W33" i="1"/>
  <c r="AA33" i="1" s="1"/>
  <c r="T34" i="1"/>
  <c r="X34" i="1" s="1"/>
  <c r="U34" i="1"/>
  <c r="Y34" i="1" s="1"/>
  <c r="V34" i="1"/>
  <c r="Z34" i="1" s="1"/>
  <c r="W34" i="1"/>
  <c r="AA34" i="1" s="1"/>
  <c r="T35" i="1"/>
  <c r="X35" i="1" s="1"/>
  <c r="U35" i="1"/>
  <c r="Y35" i="1" s="1"/>
  <c r="V35" i="1"/>
  <c r="Z35" i="1" s="1"/>
  <c r="W35" i="1"/>
  <c r="AA35" i="1" s="1"/>
  <c r="T36" i="1"/>
  <c r="X36" i="1" s="1"/>
  <c r="U36" i="1"/>
  <c r="Y36" i="1" s="1"/>
  <c r="V36" i="1"/>
  <c r="Z36" i="1" s="1"/>
  <c r="W36" i="1"/>
  <c r="AA36" i="1" s="1"/>
  <c r="T37" i="1"/>
  <c r="X37" i="1" s="1"/>
  <c r="U37" i="1"/>
  <c r="Y37" i="1" s="1"/>
  <c r="V37" i="1"/>
  <c r="Z37" i="1" s="1"/>
  <c r="AC37" i="1" s="1"/>
  <c r="W37" i="1"/>
  <c r="AA37" i="1" s="1"/>
  <c r="T38" i="1"/>
  <c r="X38" i="1" s="1"/>
  <c r="U38" i="1"/>
  <c r="Y38" i="1" s="1"/>
  <c r="V38" i="1"/>
  <c r="Z38" i="1" s="1"/>
  <c r="W38" i="1"/>
  <c r="AA38" i="1" s="1"/>
  <c r="T39" i="1"/>
  <c r="X39" i="1" s="1"/>
  <c r="U39" i="1"/>
  <c r="Y39" i="1" s="1"/>
  <c r="V39" i="1"/>
  <c r="Z39" i="1" s="1"/>
  <c r="W39" i="1"/>
  <c r="AA39" i="1" s="1"/>
  <c r="T40" i="1"/>
  <c r="X40" i="1" s="1"/>
  <c r="U40" i="1"/>
  <c r="Y40" i="1" s="1"/>
  <c r="V40" i="1"/>
  <c r="Z40" i="1" s="1"/>
  <c r="W40" i="1"/>
  <c r="AA40" i="1" s="1"/>
  <c r="T41" i="1"/>
  <c r="X41" i="1" s="1"/>
  <c r="U41" i="1"/>
  <c r="Y41" i="1" s="1"/>
  <c r="V41" i="1"/>
  <c r="Z41" i="1" s="1"/>
  <c r="W41" i="1"/>
  <c r="AA41" i="1" s="1"/>
  <c r="T42" i="1"/>
  <c r="X42" i="1" s="1"/>
  <c r="U42" i="1"/>
  <c r="Y42" i="1" s="1"/>
  <c r="V42" i="1"/>
  <c r="Z42" i="1" s="1"/>
  <c r="W42" i="1"/>
  <c r="AA42" i="1" s="1"/>
  <c r="T43" i="1"/>
  <c r="X43" i="1" s="1"/>
  <c r="U43" i="1"/>
  <c r="Y43" i="1" s="1"/>
  <c r="V43" i="1"/>
  <c r="Z43" i="1" s="1"/>
  <c r="W43" i="1"/>
  <c r="AA43" i="1" s="1"/>
  <c r="T44" i="1"/>
  <c r="X44" i="1" s="1"/>
  <c r="U44" i="1"/>
  <c r="Y44" i="1" s="1"/>
  <c r="V44" i="1"/>
  <c r="Z44" i="1" s="1"/>
  <c r="W44" i="1"/>
  <c r="AA44" i="1" s="1"/>
  <c r="T45" i="1"/>
  <c r="X45" i="1" s="1"/>
  <c r="U45" i="1"/>
  <c r="Y45" i="1" s="1"/>
  <c r="V45" i="1"/>
  <c r="Z45" i="1" s="1"/>
  <c r="W45" i="1"/>
  <c r="AA45" i="1" s="1"/>
  <c r="T46" i="1"/>
  <c r="X46" i="1" s="1"/>
  <c r="U46" i="1"/>
  <c r="Y46" i="1" s="1"/>
  <c r="V46" i="1"/>
  <c r="Z46" i="1" s="1"/>
  <c r="W46" i="1"/>
  <c r="AA46" i="1" s="1"/>
  <c r="T47" i="1"/>
  <c r="X47" i="1" s="1"/>
  <c r="U47" i="1"/>
  <c r="Y47" i="1" s="1"/>
  <c r="V47" i="1"/>
  <c r="Z47" i="1" s="1"/>
  <c r="W47" i="1"/>
  <c r="AA47" i="1" s="1"/>
  <c r="T48" i="1"/>
  <c r="X48" i="1" s="1"/>
  <c r="U48" i="1"/>
  <c r="Y48" i="1" s="1"/>
  <c r="V48" i="1"/>
  <c r="Z48" i="1" s="1"/>
  <c r="W48" i="1"/>
  <c r="AA48" i="1" s="1"/>
  <c r="T49" i="1"/>
  <c r="X49" i="1" s="1"/>
  <c r="U49" i="1"/>
  <c r="Y49" i="1" s="1"/>
  <c r="V49" i="1"/>
  <c r="Z49" i="1" s="1"/>
  <c r="W49" i="1"/>
  <c r="AA49" i="1" s="1"/>
  <c r="T50" i="1"/>
  <c r="X50" i="1" s="1"/>
  <c r="U50" i="1"/>
  <c r="Y50" i="1" s="1"/>
  <c r="V50" i="1"/>
  <c r="Z50" i="1" s="1"/>
  <c r="W50" i="1"/>
  <c r="AA50" i="1" s="1"/>
  <c r="T51" i="1"/>
  <c r="X51" i="1" s="1"/>
  <c r="AB51" i="1" s="1"/>
  <c r="U51" i="1"/>
  <c r="Y51" i="1" s="1"/>
  <c r="V51" i="1"/>
  <c r="Z51" i="1" s="1"/>
  <c r="W51" i="1"/>
  <c r="AA51" i="1" s="1"/>
  <c r="T52" i="1"/>
  <c r="X52" i="1" s="1"/>
  <c r="U52" i="1"/>
  <c r="Y52" i="1" s="1"/>
  <c r="V52" i="1"/>
  <c r="Z52" i="1" s="1"/>
  <c r="W52" i="1"/>
  <c r="AA52" i="1" s="1"/>
  <c r="T53" i="1"/>
  <c r="X53" i="1" s="1"/>
  <c r="U53" i="1"/>
  <c r="Y53" i="1" s="1"/>
  <c r="V53" i="1"/>
  <c r="Z53" i="1" s="1"/>
  <c r="AC53" i="1" s="1"/>
  <c r="W53" i="1"/>
  <c r="AA53" i="1" s="1"/>
  <c r="T54" i="1"/>
  <c r="X54" i="1" s="1"/>
  <c r="U54" i="1"/>
  <c r="Y54" i="1" s="1"/>
  <c r="V54" i="1"/>
  <c r="Z54" i="1" s="1"/>
  <c r="W54" i="1"/>
  <c r="AA54" i="1" s="1"/>
  <c r="T55" i="1"/>
  <c r="X55" i="1" s="1"/>
  <c r="U55" i="1"/>
  <c r="Y55" i="1" s="1"/>
  <c r="V55" i="1"/>
  <c r="Z55" i="1" s="1"/>
  <c r="W55" i="1"/>
  <c r="AA55" i="1" s="1"/>
  <c r="AC55" i="1" s="1"/>
  <c r="T56" i="1"/>
  <c r="X56" i="1" s="1"/>
  <c r="U56" i="1"/>
  <c r="Y56" i="1" s="1"/>
  <c r="V56" i="1"/>
  <c r="Z56" i="1" s="1"/>
  <c r="W56" i="1"/>
  <c r="AA56" i="1" s="1"/>
  <c r="T57" i="1"/>
  <c r="X57" i="1" s="1"/>
  <c r="U57" i="1"/>
  <c r="Y57" i="1" s="1"/>
  <c r="V57" i="1"/>
  <c r="Z57" i="1" s="1"/>
  <c r="W57" i="1"/>
  <c r="AA57" i="1" s="1"/>
  <c r="T58" i="1"/>
  <c r="X58" i="1" s="1"/>
  <c r="U58" i="1"/>
  <c r="Y58" i="1" s="1"/>
  <c r="V58" i="1"/>
  <c r="Z58" i="1" s="1"/>
  <c r="W58" i="1"/>
  <c r="AA58" i="1" s="1"/>
  <c r="W3" i="1"/>
  <c r="AA3" i="1" s="1"/>
  <c r="V3" i="1"/>
  <c r="Z3" i="1" s="1"/>
  <c r="U3" i="1"/>
  <c r="Y3" i="1" s="1"/>
  <c r="T3" i="1"/>
  <c r="X3" i="1" s="1"/>
  <c r="AB3" i="1" s="1"/>
  <c r="S48" i="1"/>
  <c r="P4" i="1"/>
  <c r="S4" i="1" s="1"/>
  <c r="Q4" i="1"/>
  <c r="P5" i="1"/>
  <c r="S5" i="1" s="1"/>
  <c r="Q5" i="1"/>
  <c r="P6" i="1"/>
  <c r="Q6" i="1"/>
  <c r="P7" i="1"/>
  <c r="S7" i="1" s="1"/>
  <c r="Q7" i="1"/>
  <c r="P8" i="1"/>
  <c r="S8" i="1" s="1"/>
  <c r="Q8" i="1"/>
  <c r="P9" i="1"/>
  <c r="Q9" i="1"/>
  <c r="P10" i="1"/>
  <c r="Q10" i="1"/>
  <c r="P11" i="1"/>
  <c r="Q11" i="1"/>
  <c r="P12" i="1"/>
  <c r="S12" i="1" s="1"/>
  <c r="Q12" i="1"/>
  <c r="P13" i="1"/>
  <c r="S13" i="1" s="1"/>
  <c r="Q13" i="1"/>
  <c r="P14" i="1"/>
  <c r="Q14" i="1"/>
  <c r="P15" i="1"/>
  <c r="S15" i="1" s="1"/>
  <c r="Q15" i="1"/>
  <c r="P16" i="1"/>
  <c r="S16" i="1" s="1"/>
  <c r="Q16" i="1"/>
  <c r="P17" i="1"/>
  <c r="Q17" i="1"/>
  <c r="P18" i="1"/>
  <c r="Q18" i="1"/>
  <c r="P19" i="1"/>
  <c r="Q19" i="1"/>
  <c r="P20" i="1"/>
  <c r="S20" i="1" s="1"/>
  <c r="Q20" i="1"/>
  <c r="P21" i="1"/>
  <c r="S21" i="1" s="1"/>
  <c r="Q21" i="1"/>
  <c r="P22" i="1"/>
  <c r="S22" i="1" s="1"/>
  <c r="Q22" i="1"/>
  <c r="P23" i="1"/>
  <c r="S23" i="1" s="1"/>
  <c r="Q23" i="1"/>
  <c r="P24" i="1"/>
  <c r="S24" i="1" s="1"/>
  <c r="Q24" i="1"/>
  <c r="P25" i="1"/>
  <c r="Q25" i="1"/>
  <c r="P26" i="1"/>
  <c r="Q26" i="1"/>
  <c r="P27" i="1"/>
  <c r="Q27" i="1"/>
  <c r="P28" i="1"/>
  <c r="S28" i="1" s="1"/>
  <c r="Q28" i="1"/>
  <c r="P29" i="1"/>
  <c r="S29" i="1" s="1"/>
  <c r="Q29" i="1"/>
  <c r="P30" i="1"/>
  <c r="Q30" i="1"/>
  <c r="P31" i="1"/>
  <c r="S31" i="1" s="1"/>
  <c r="Q31" i="1"/>
  <c r="P32" i="1"/>
  <c r="S32" i="1" s="1"/>
  <c r="Q32" i="1"/>
  <c r="P33" i="1"/>
  <c r="Q33" i="1"/>
  <c r="P34" i="1"/>
  <c r="Q34" i="1"/>
  <c r="P35" i="1"/>
  <c r="Q35" i="1"/>
  <c r="P36" i="1"/>
  <c r="S36" i="1" s="1"/>
  <c r="Q36" i="1"/>
  <c r="P37" i="1"/>
  <c r="S37" i="1" s="1"/>
  <c r="Q37" i="1"/>
  <c r="P38" i="1"/>
  <c r="S38" i="1" s="1"/>
  <c r="Q38" i="1"/>
  <c r="P39" i="1"/>
  <c r="S39" i="1" s="1"/>
  <c r="Q39" i="1"/>
  <c r="P40" i="1"/>
  <c r="S40" i="1" s="1"/>
  <c r="Q40" i="1"/>
  <c r="P41" i="1"/>
  <c r="Q41" i="1"/>
  <c r="P42" i="1"/>
  <c r="Q42" i="1"/>
  <c r="P43" i="1"/>
  <c r="Q43" i="1"/>
  <c r="P44" i="1"/>
  <c r="S44" i="1" s="1"/>
  <c r="Q44" i="1"/>
  <c r="P45" i="1"/>
  <c r="S45" i="1" s="1"/>
  <c r="Q45" i="1"/>
  <c r="P46" i="1"/>
  <c r="Q46" i="1"/>
  <c r="P47" i="1"/>
  <c r="S47" i="1" s="1"/>
  <c r="Q47" i="1"/>
  <c r="P48" i="1"/>
  <c r="Q48" i="1"/>
  <c r="P49" i="1"/>
  <c r="Q49" i="1"/>
  <c r="P50" i="1"/>
  <c r="Q50" i="1"/>
  <c r="P51" i="1"/>
  <c r="Q51" i="1"/>
  <c r="P52" i="1"/>
  <c r="S52" i="1" s="1"/>
  <c r="Q52" i="1"/>
  <c r="P53" i="1"/>
  <c r="S53" i="1" s="1"/>
  <c r="Q53" i="1"/>
  <c r="P54" i="1"/>
  <c r="S54" i="1" s="1"/>
  <c r="Q54" i="1"/>
  <c r="P55" i="1"/>
  <c r="S55" i="1" s="1"/>
  <c r="Q55" i="1"/>
  <c r="P56" i="1"/>
  <c r="S56" i="1" s="1"/>
  <c r="Q56" i="1"/>
  <c r="P57" i="1"/>
  <c r="Q57" i="1"/>
  <c r="P58" i="1"/>
  <c r="Q58" i="1"/>
  <c r="Q3" i="1"/>
  <c r="P3" i="1"/>
  <c r="S3" i="1" s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3" i="1"/>
  <c r="N4" i="1"/>
  <c r="R4" i="1" s="1"/>
  <c r="N5" i="1"/>
  <c r="R5" i="1" s="1"/>
  <c r="N6" i="1"/>
  <c r="N7" i="1"/>
  <c r="R7" i="1" s="1"/>
  <c r="N8" i="1"/>
  <c r="N9" i="1"/>
  <c r="N10" i="1"/>
  <c r="N11" i="1"/>
  <c r="R11" i="1" s="1"/>
  <c r="N12" i="1"/>
  <c r="R12" i="1" s="1"/>
  <c r="N13" i="1"/>
  <c r="R13" i="1" s="1"/>
  <c r="N14" i="1"/>
  <c r="R14" i="1" s="1"/>
  <c r="N15" i="1"/>
  <c r="R15" i="1" s="1"/>
  <c r="N16" i="1"/>
  <c r="R16" i="1" s="1"/>
  <c r="N17" i="1"/>
  <c r="R17" i="1" s="1"/>
  <c r="N18" i="1"/>
  <c r="R18" i="1" s="1"/>
  <c r="N19" i="1"/>
  <c r="N20" i="1"/>
  <c r="R20" i="1" s="1"/>
  <c r="N21" i="1"/>
  <c r="R21" i="1" s="1"/>
  <c r="N22" i="1"/>
  <c r="N23" i="1"/>
  <c r="R23" i="1" s="1"/>
  <c r="N24" i="1"/>
  <c r="N25" i="1"/>
  <c r="N26" i="1"/>
  <c r="N27" i="1"/>
  <c r="R27" i="1" s="1"/>
  <c r="N28" i="1"/>
  <c r="R28" i="1" s="1"/>
  <c r="N29" i="1"/>
  <c r="R29" i="1" s="1"/>
  <c r="N30" i="1"/>
  <c r="R30" i="1" s="1"/>
  <c r="N31" i="1"/>
  <c r="R31" i="1" s="1"/>
  <c r="N32" i="1"/>
  <c r="R32" i="1" s="1"/>
  <c r="N33" i="1"/>
  <c r="R33" i="1" s="1"/>
  <c r="N34" i="1"/>
  <c r="R34" i="1" s="1"/>
  <c r="N35" i="1"/>
  <c r="N36" i="1"/>
  <c r="R36" i="1" s="1"/>
  <c r="N37" i="1"/>
  <c r="R37" i="1" s="1"/>
  <c r="N38" i="1"/>
  <c r="N39" i="1"/>
  <c r="R39" i="1" s="1"/>
  <c r="N40" i="1"/>
  <c r="N41" i="1"/>
  <c r="N42" i="1"/>
  <c r="N43" i="1"/>
  <c r="R43" i="1" s="1"/>
  <c r="N44" i="1"/>
  <c r="R44" i="1" s="1"/>
  <c r="N45" i="1"/>
  <c r="R45" i="1" s="1"/>
  <c r="N46" i="1"/>
  <c r="R46" i="1" s="1"/>
  <c r="N47" i="1"/>
  <c r="R47" i="1" s="1"/>
  <c r="N48" i="1"/>
  <c r="R48" i="1" s="1"/>
  <c r="N49" i="1"/>
  <c r="R49" i="1" s="1"/>
  <c r="N50" i="1"/>
  <c r="R50" i="1" s="1"/>
  <c r="N51" i="1"/>
  <c r="N52" i="1"/>
  <c r="R52" i="1" s="1"/>
  <c r="N53" i="1"/>
  <c r="R53" i="1" s="1"/>
  <c r="N54" i="1"/>
  <c r="N55" i="1"/>
  <c r="R55" i="1" s="1"/>
  <c r="N56" i="1"/>
  <c r="N57" i="1"/>
  <c r="N58" i="1"/>
  <c r="N3" i="1"/>
  <c r="R3" i="1" s="1"/>
  <c r="P3" i="4"/>
  <c r="S3" i="4"/>
  <c r="P4" i="4"/>
  <c r="S4" i="4"/>
  <c r="P5" i="4"/>
  <c r="S5" i="4"/>
  <c r="P6" i="4"/>
  <c r="S6" i="4"/>
  <c r="P7" i="4"/>
  <c r="S7" i="4"/>
  <c r="P8" i="4"/>
  <c r="S8" i="4"/>
  <c r="P9" i="4"/>
  <c r="S9" i="4"/>
  <c r="P10" i="4"/>
  <c r="S10" i="4"/>
  <c r="P11" i="4"/>
  <c r="S11" i="4"/>
  <c r="P12" i="4"/>
  <c r="S12" i="4"/>
  <c r="P13" i="4"/>
  <c r="S13" i="4"/>
  <c r="P14" i="4"/>
  <c r="S14" i="4"/>
  <c r="P15" i="4"/>
  <c r="S15" i="4"/>
  <c r="P16" i="4"/>
  <c r="S16" i="4"/>
  <c r="P17" i="4"/>
  <c r="S17" i="4"/>
  <c r="P18" i="4"/>
  <c r="S18" i="4"/>
  <c r="P19" i="4"/>
  <c r="S19" i="4"/>
  <c r="P20" i="4"/>
  <c r="S20" i="4"/>
  <c r="P21" i="4"/>
  <c r="S21" i="4"/>
  <c r="P22" i="4"/>
  <c r="S22" i="4"/>
  <c r="P23" i="4"/>
  <c r="S23" i="4"/>
  <c r="P24" i="4"/>
  <c r="S24" i="4"/>
  <c r="P25" i="4"/>
  <c r="S25" i="4"/>
  <c r="P26" i="4"/>
  <c r="S26" i="4"/>
  <c r="P27" i="4"/>
  <c r="S27" i="4"/>
  <c r="P28" i="4"/>
  <c r="S28" i="4"/>
  <c r="P29" i="4"/>
  <c r="S29" i="4"/>
  <c r="P30" i="4"/>
  <c r="S30" i="4"/>
  <c r="P31" i="4"/>
  <c r="S31" i="4"/>
  <c r="P32" i="4"/>
  <c r="S32" i="4"/>
  <c r="P33" i="4"/>
  <c r="S33" i="4"/>
  <c r="P34" i="4"/>
  <c r="S34" i="4"/>
  <c r="P35" i="4"/>
  <c r="S35" i="4"/>
  <c r="P36" i="4"/>
  <c r="S36" i="4"/>
  <c r="P37" i="4"/>
  <c r="S37" i="4"/>
  <c r="P38" i="4"/>
  <c r="S38" i="4"/>
  <c r="P39" i="4"/>
  <c r="S39" i="4"/>
  <c r="P40" i="4"/>
  <c r="S40" i="4"/>
  <c r="P41" i="4"/>
  <c r="S41" i="4"/>
  <c r="P42" i="4"/>
  <c r="S42" i="4"/>
  <c r="P43" i="4"/>
  <c r="S43" i="4"/>
  <c r="P44" i="4"/>
  <c r="S44" i="4"/>
  <c r="P45" i="4"/>
  <c r="S45" i="4"/>
  <c r="P46" i="4"/>
  <c r="S46" i="4"/>
  <c r="P47" i="4"/>
  <c r="S47" i="4"/>
  <c r="P48" i="4"/>
  <c r="S48" i="4"/>
  <c r="P49" i="4"/>
  <c r="S49" i="4"/>
  <c r="P50" i="4"/>
  <c r="S50" i="4"/>
  <c r="P51" i="4"/>
  <c r="S51" i="4"/>
  <c r="P52" i="4"/>
  <c r="S52" i="4"/>
  <c r="P53" i="4"/>
  <c r="S53" i="4"/>
  <c r="P54" i="4"/>
  <c r="S54" i="4"/>
  <c r="P55" i="4"/>
  <c r="S55" i="4"/>
  <c r="P56" i="4"/>
  <c r="S56" i="4"/>
  <c r="P57" i="4"/>
  <c r="S57" i="4"/>
  <c r="P58" i="4"/>
  <c r="S58" i="4"/>
  <c r="N35" i="8" l="1"/>
  <c r="N40" i="8"/>
  <c r="N34" i="8"/>
  <c r="N33" i="8"/>
  <c r="N17" i="8"/>
  <c r="N27" i="8"/>
  <c r="N10" i="8"/>
  <c r="N18" i="8"/>
  <c r="N45" i="8"/>
  <c r="N12" i="8"/>
  <c r="N49" i="8"/>
  <c r="N6" i="8"/>
  <c r="N4" i="8"/>
  <c r="N15" i="8"/>
  <c r="N16" i="8"/>
  <c r="N42" i="8"/>
  <c r="N11" i="8"/>
  <c r="N14" i="8"/>
  <c r="N36" i="8"/>
  <c r="AC47" i="1"/>
  <c r="N24" i="8"/>
  <c r="N19" i="8"/>
  <c r="AA19" i="8" s="1"/>
  <c r="N39" i="8"/>
  <c r="N13" i="8"/>
  <c r="N8" i="8"/>
  <c r="N26" i="8"/>
  <c r="N3" i="8"/>
  <c r="N22" i="8"/>
  <c r="N41" i="8"/>
  <c r="N43" i="8"/>
  <c r="N28" i="8"/>
  <c r="N30" i="8"/>
  <c r="AC56" i="1"/>
  <c r="AC16" i="1"/>
  <c r="AC12" i="1"/>
  <c r="AB8" i="1"/>
  <c r="AB4" i="1"/>
  <c r="N53" i="8"/>
  <c r="AC3" i="1"/>
  <c r="M46" i="8"/>
  <c r="N58" i="8"/>
  <c r="M33" i="8"/>
  <c r="N56" i="8"/>
  <c r="M54" i="8"/>
  <c r="M13" i="8"/>
  <c r="N32" i="8"/>
  <c r="AC36" i="8"/>
  <c r="AC5" i="8"/>
  <c r="AC35" i="8"/>
  <c r="AC33" i="8"/>
  <c r="AC54" i="8"/>
  <c r="AC15" i="8"/>
  <c r="AC30" i="8"/>
  <c r="AC50" i="8"/>
  <c r="AC58" i="8"/>
  <c r="AC3" i="8"/>
  <c r="AC38" i="8"/>
  <c r="AC16" i="8"/>
  <c r="AC14" i="8"/>
  <c r="AC39" i="8"/>
  <c r="AC45" i="8"/>
  <c r="AC4" i="8"/>
  <c r="AC49" i="8"/>
  <c r="AC42" i="8"/>
  <c r="AC48" i="8"/>
  <c r="AC43" i="8"/>
  <c r="AC40" i="8"/>
  <c r="AC34" i="8"/>
  <c r="AC22" i="8"/>
  <c r="AC53" i="8"/>
  <c r="AC18" i="8"/>
  <c r="AC26" i="8"/>
  <c r="AC11" i="8"/>
  <c r="AC24" i="8"/>
  <c r="AC6" i="8"/>
  <c r="AC21" i="8"/>
  <c r="AC23" i="8"/>
  <c r="AC7" i="8"/>
  <c r="AC32" i="8"/>
  <c r="AC10" i="8"/>
  <c r="AC8" i="8"/>
  <c r="AC17" i="8"/>
  <c r="AC31" i="8"/>
  <c r="AC52" i="8"/>
  <c r="AC12" i="8"/>
  <c r="AC20" i="8"/>
  <c r="AC57" i="8"/>
  <c r="AC55" i="8"/>
  <c r="AC25" i="8"/>
  <c r="AC19" i="8"/>
  <c r="AC29" i="8"/>
  <c r="AC46" i="8"/>
  <c r="AC41" i="8"/>
  <c r="AC47" i="8"/>
  <c r="AC13" i="8"/>
  <c r="AC56" i="8"/>
  <c r="AC44" i="8"/>
  <c r="AC51" i="8"/>
  <c r="AC9" i="8"/>
  <c r="AC37" i="8"/>
  <c r="AC28" i="8"/>
  <c r="AC27" i="8"/>
  <c r="AB43" i="8"/>
  <c r="AB34" i="8"/>
  <c r="AB41" i="8"/>
  <c r="AB51" i="8"/>
  <c r="AB48" i="8"/>
  <c r="AB14" i="8"/>
  <c r="AB38" i="8"/>
  <c r="AB31" i="8"/>
  <c r="AB42" i="8"/>
  <c r="AB52" i="8"/>
  <c r="AB30" i="8"/>
  <c r="AB18" i="8"/>
  <c r="AB19" i="8"/>
  <c r="AB32" i="8"/>
  <c r="AB11" i="8"/>
  <c r="AB57" i="8"/>
  <c r="AB8" i="8"/>
  <c r="AB16" i="8"/>
  <c r="AB58" i="8"/>
  <c r="AB33" i="8"/>
  <c r="AB20" i="8"/>
  <c r="AB50" i="8"/>
  <c r="AB56" i="8"/>
  <c r="AB55" i="8"/>
  <c r="AB25" i="8"/>
  <c r="AB12" i="8"/>
  <c r="AB40" i="8"/>
  <c r="AB17" i="8"/>
  <c r="AB45" i="8"/>
  <c r="AB54" i="8"/>
  <c r="AB7" i="8"/>
  <c r="AB49" i="8"/>
  <c r="AB9" i="8"/>
  <c r="AB26" i="8"/>
  <c r="AB24" i="8"/>
  <c r="AB27" i="8"/>
  <c r="AB35" i="8"/>
  <c r="AB39" i="8"/>
  <c r="AB37" i="8"/>
  <c r="AB6" i="8"/>
  <c r="AB23" i="8"/>
  <c r="AB29" i="8"/>
  <c r="AB10" i="8"/>
  <c r="AB28" i="8"/>
  <c r="AB3" i="8"/>
  <c r="AB47" i="8"/>
  <c r="AB13" i="8"/>
  <c r="AB21" i="8"/>
  <c r="AB46" i="8"/>
  <c r="AB36" i="8"/>
  <c r="AB53" i="8"/>
  <c r="AB15" i="8"/>
  <c r="AB22" i="8"/>
  <c r="AB5" i="8"/>
  <c r="AB4" i="8"/>
  <c r="AB44" i="8"/>
  <c r="AB49" i="1"/>
  <c r="AC32" i="1"/>
  <c r="M48" i="8"/>
  <c r="AC58" i="1"/>
  <c r="AC54" i="1"/>
  <c r="AC50" i="1"/>
  <c r="AC46" i="1"/>
  <c r="AC38" i="1"/>
  <c r="AC30" i="1"/>
  <c r="AC26" i="1"/>
  <c r="AC18" i="1"/>
  <c r="AC14" i="1"/>
  <c r="M25" i="8"/>
  <c r="AB54" i="1"/>
  <c r="AB38" i="1"/>
  <c r="AB30" i="1"/>
  <c r="AB22" i="1"/>
  <c r="AB14" i="1"/>
  <c r="AB6" i="1"/>
  <c r="AC49" i="1"/>
  <c r="AB56" i="1"/>
  <c r="AC45" i="1"/>
  <c r="M43" i="8"/>
  <c r="M55" i="8"/>
  <c r="AB57" i="1"/>
  <c r="AB53" i="1"/>
  <c r="AB45" i="1"/>
  <c r="AB41" i="1"/>
  <c r="AB37" i="1"/>
  <c r="AB33" i="1"/>
  <c r="AB25" i="1"/>
  <c r="AB17" i="1"/>
  <c r="M41" i="8"/>
  <c r="M27" i="8"/>
  <c r="N47" i="8"/>
  <c r="AC48" i="1"/>
  <c r="AC40" i="1"/>
  <c r="AC36" i="1"/>
  <c r="AC28" i="1"/>
  <c r="AC24" i="1"/>
  <c r="AC8" i="1"/>
  <c r="AC4" i="1"/>
  <c r="M30" i="8"/>
  <c r="N29" i="8"/>
  <c r="N20" i="8"/>
  <c r="AB52" i="1"/>
  <c r="AB48" i="1"/>
  <c r="AB40" i="1"/>
  <c r="AB36" i="1"/>
  <c r="AB24" i="1"/>
  <c r="AB20" i="1"/>
  <c r="M51" i="8"/>
  <c r="M15" i="8"/>
  <c r="AC39" i="1"/>
  <c r="M28" i="8"/>
  <c r="M24" i="8"/>
  <c r="AA24" i="8" s="1"/>
  <c r="M44" i="8"/>
  <c r="M38" i="8"/>
  <c r="M40" i="8"/>
  <c r="AA40" i="8" s="1"/>
  <c r="M58" i="8"/>
  <c r="M35" i="8"/>
  <c r="AA35" i="8" s="1"/>
  <c r="M34" i="8"/>
  <c r="AA34" i="8" s="1"/>
  <c r="N37" i="8"/>
  <c r="N51" i="8"/>
  <c r="M11" i="8"/>
  <c r="M32" i="8"/>
  <c r="N23" i="8"/>
  <c r="M22" i="8"/>
  <c r="M53" i="8"/>
  <c r="M42" i="8"/>
  <c r="N57" i="8"/>
  <c r="M57" i="8"/>
  <c r="M18" i="8"/>
  <c r="N44" i="8"/>
  <c r="N21" i="8"/>
  <c r="N31" i="8"/>
  <c r="M52" i="8"/>
  <c r="M56" i="8"/>
  <c r="M39" i="8"/>
  <c r="M16" i="8"/>
  <c r="N46" i="8"/>
  <c r="N7" i="8"/>
  <c r="N54" i="8"/>
  <c r="M6" i="8"/>
  <c r="AA6" i="8" s="1"/>
  <c r="M37" i="8"/>
  <c r="M49" i="8"/>
  <c r="M26" i="8"/>
  <c r="AA26" i="8" s="1"/>
  <c r="N5" i="8"/>
  <c r="M21" i="8"/>
  <c r="N52" i="8"/>
  <c r="M36" i="8"/>
  <c r="N50" i="8"/>
  <c r="M8" i="8"/>
  <c r="M23" i="8"/>
  <c r="N38" i="8"/>
  <c r="M9" i="8"/>
  <c r="AA9" i="8" s="1"/>
  <c r="M47" i="8"/>
  <c r="AA47" i="8" s="1"/>
  <c r="M45" i="8"/>
  <c r="AA45" i="8" s="1"/>
  <c r="N25" i="8"/>
  <c r="N55" i="8"/>
  <c r="M14" i="8"/>
  <c r="AA14" i="8" s="1"/>
  <c r="M3" i="8"/>
  <c r="M5" i="8"/>
  <c r="M20" i="8"/>
  <c r="M50" i="8"/>
  <c r="M7" i="8"/>
  <c r="M17" i="8"/>
  <c r="AA17" i="8" s="1"/>
  <c r="M10" i="8"/>
  <c r="AA10" i="8" s="1"/>
  <c r="M31" i="8"/>
  <c r="M29" i="8"/>
  <c r="M12" i="8"/>
  <c r="AA12" i="8" s="1"/>
  <c r="N48" i="8"/>
  <c r="M4" i="8"/>
  <c r="AA4" i="8" s="1"/>
  <c r="E53" i="7"/>
  <c r="AC41" i="1"/>
  <c r="AC33" i="1"/>
  <c r="AC9" i="1"/>
  <c r="AB9" i="1"/>
  <c r="AB13" i="1"/>
  <c r="AB16" i="1"/>
  <c r="AC51" i="1"/>
  <c r="AC35" i="1"/>
  <c r="AC19" i="1"/>
  <c r="AB55" i="1"/>
  <c r="AB47" i="1"/>
  <c r="AB43" i="1"/>
  <c r="AB35" i="1"/>
  <c r="AB31" i="1"/>
  <c r="AB27" i="1"/>
  <c r="AB23" i="1"/>
  <c r="AB15" i="1"/>
  <c r="AC43" i="1"/>
  <c r="AC5" i="1"/>
  <c r="AC6" i="1"/>
  <c r="AC27" i="1"/>
  <c r="AC11" i="1"/>
  <c r="AB58" i="1"/>
  <c r="AB50" i="1"/>
  <c r="AB34" i="1"/>
  <c r="AB26" i="1"/>
  <c r="AB18" i="1"/>
  <c r="AB10" i="1"/>
  <c r="AC44" i="1"/>
  <c r="AC34" i="1"/>
  <c r="AB21" i="1"/>
  <c r="AC17" i="1"/>
  <c r="R58" i="1"/>
  <c r="R42" i="1"/>
  <c r="R26" i="1"/>
  <c r="R10" i="1"/>
  <c r="S51" i="1"/>
  <c r="S43" i="1"/>
  <c r="S35" i="1"/>
  <c r="S27" i="1"/>
  <c r="S19" i="1"/>
  <c r="S11" i="1"/>
  <c r="R41" i="1"/>
  <c r="AB7" i="1"/>
  <c r="R56" i="1"/>
  <c r="R40" i="1"/>
  <c r="R24" i="1"/>
  <c r="R8" i="1"/>
  <c r="S58" i="1"/>
  <c r="S50" i="1"/>
  <c r="S42" i="1"/>
  <c r="S34" i="1"/>
  <c r="S26" i="1"/>
  <c r="S18" i="1"/>
  <c r="S10" i="1"/>
  <c r="R9" i="1"/>
  <c r="AC20" i="1"/>
  <c r="R54" i="1"/>
  <c r="R38" i="1"/>
  <c r="R22" i="1"/>
  <c r="R6" i="1"/>
  <c r="S57" i="1"/>
  <c r="S49" i="1"/>
  <c r="S41" i="1"/>
  <c r="S33" i="1"/>
  <c r="S25" i="1"/>
  <c r="S17" i="1"/>
  <c r="S9" i="1"/>
  <c r="R57" i="1"/>
  <c r="AB44" i="1"/>
  <c r="R25" i="1"/>
  <c r="AC57" i="1"/>
  <c r="AC10" i="1"/>
  <c r="R51" i="1"/>
  <c r="R35" i="1"/>
  <c r="R19" i="1"/>
  <c r="AB46" i="1"/>
  <c r="AC22" i="1"/>
  <c r="AB29" i="1"/>
  <c r="AC42" i="1"/>
  <c r="AC25" i="1"/>
  <c r="S30" i="1"/>
  <c r="AB39" i="1"/>
  <c r="AB5" i="1"/>
  <c r="S14" i="1"/>
  <c r="AB42" i="1"/>
  <c r="S46" i="1"/>
  <c r="AC52" i="1"/>
  <c r="AB12" i="1"/>
  <c r="S6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3" i="1"/>
  <c r="AA3" i="8" l="1"/>
  <c r="AA22" i="8"/>
  <c r="AA49" i="8"/>
  <c r="AA46" i="8"/>
  <c r="AA13" i="8"/>
  <c r="AA33" i="8"/>
  <c r="AA18" i="8"/>
  <c r="AA27" i="8"/>
  <c r="AA8" i="8"/>
  <c r="AA58" i="8"/>
  <c r="AA53" i="8"/>
  <c r="AA43" i="8"/>
  <c r="AA42" i="8"/>
  <c r="AA11" i="8"/>
  <c r="AA16" i="8"/>
  <c r="AA15" i="8"/>
  <c r="AA28" i="8"/>
  <c r="AA41" i="8"/>
  <c r="AA39" i="8"/>
  <c r="AA31" i="8"/>
  <c r="AA36" i="8"/>
  <c r="AA30" i="8"/>
  <c r="AA48" i="8"/>
  <c r="AA54" i="8"/>
  <c r="AA32" i="8"/>
  <c r="AA56" i="8"/>
  <c r="AA44" i="8"/>
  <c r="AA37" i="8"/>
  <c r="AA51" i="8"/>
  <c r="AA25" i="8"/>
  <c r="Z39" i="8"/>
  <c r="Z15" i="8"/>
  <c r="Z23" i="8"/>
  <c r="Z7" i="8"/>
  <c r="Z54" i="8"/>
  <c r="Z35" i="8"/>
  <c r="AD35" i="8" s="1"/>
  <c r="Z12" i="8"/>
  <c r="AD12" i="8" s="1"/>
  <c r="Z38" i="8"/>
  <c r="Z55" i="8"/>
  <c r="Z6" i="8"/>
  <c r="AD6" i="8" s="1"/>
  <c r="Z37" i="8"/>
  <c r="Z28" i="8"/>
  <c r="Z14" i="8"/>
  <c r="AD14" i="8" s="1"/>
  <c r="Z16" i="8"/>
  <c r="Z44" i="8"/>
  <c r="Z8" i="8"/>
  <c r="Z3" i="8"/>
  <c r="AD3" i="8" s="1"/>
  <c r="Z9" i="8"/>
  <c r="AD9" i="8" s="1"/>
  <c r="Z56" i="8"/>
  <c r="Z47" i="8"/>
  <c r="AD47" i="8" s="1"/>
  <c r="Z57" i="8"/>
  <c r="Z4" i="8"/>
  <c r="AD4" i="8" s="1"/>
  <c r="Z10" i="8"/>
  <c r="AD10" i="8" s="1"/>
  <c r="Z21" i="8"/>
  <c r="Z20" i="8"/>
  <c r="Z5" i="8"/>
  <c r="Z18" i="8"/>
  <c r="Z36" i="8"/>
  <c r="AD36" i="8" s="1"/>
  <c r="Z48" i="8"/>
  <c r="Z34" i="8"/>
  <c r="AD34" i="8" s="1"/>
  <c r="Z52" i="8"/>
  <c r="Z11" i="8"/>
  <c r="Z50" i="8"/>
  <c r="Z25" i="8"/>
  <c r="Z17" i="8"/>
  <c r="AD17" i="8" s="1"/>
  <c r="Z13" i="8"/>
  <c r="AD13" i="8" s="1"/>
  <c r="Z26" i="8"/>
  <c r="AD26" i="8" s="1"/>
  <c r="Z33" i="8"/>
  <c r="Z29" i="8"/>
  <c r="Z42" i="8"/>
  <c r="Z49" i="8"/>
  <c r="AD49" i="8" s="1"/>
  <c r="Z45" i="8"/>
  <c r="AD45" i="8" s="1"/>
  <c r="Z58" i="8"/>
  <c r="AD58" i="8" s="1"/>
  <c r="Z19" i="8"/>
  <c r="AD19" i="8" s="1"/>
  <c r="Z46" i="8"/>
  <c r="AD46" i="8" s="1"/>
  <c r="Z43" i="8"/>
  <c r="AD43" i="8" s="1"/>
  <c r="Z53" i="8"/>
  <c r="Z41" i="8"/>
  <c r="Z30" i="8"/>
  <c r="Z32" i="8"/>
  <c r="Z31" i="8"/>
  <c r="Z27" i="8"/>
  <c r="AD27" i="8" s="1"/>
  <c r="Z22" i="8"/>
  <c r="AD22" i="8" s="1"/>
  <c r="Z40" i="8"/>
  <c r="AD40" i="8" s="1"/>
  <c r="Z24" i="8"/>
  <c r="AD24" i="8" s="1"/>
  <c r="Z51" i="8"/>
  <c r="AA55" i="8"/>
  <c r="AA29" i="8"/>
  <c r="AA7" i="8"/>
  <c r="AA50" i="8"/>
  <c r="AA20" i="8"/>
  <c r="AA21" i="8"/>
  <c r="AA52" i="8"/>
  <c r="AA57" i="8"/>
  <c r="AA38" i="8"/>
  <c r="AA23" i="8"/>
  <c r="AA5" i="8"/>
  <c r="AE20" i="1"/>
  <c r="AE52" i="1"/>
  <c r="AE21" i="1"/>
  <c r="AE37" i="1"/>
  <c r="AE53" i="1"/>
  <c r="AE38" i="1"/>
  <c r="AE39" i="1"/>
  <c r="AE55" i="1"/>
  <c r="AE24" i="1"/>
  <c r="AE56" i="1"/>
  <c r="AE25" i="1"/>
  <c r="AE42" i="1"/>
  <c r="AE31" i="1"/>
  <c r="AE32" i="1"/>
  <c r="AE49" i="1"/>
  <c r="AE50" i="1"/>
  <c r="AE51" i="1"/>
  <c r="AD15" i="8" l="1"/>
  <c r="AD11" i="8"/>
  <c r="AD48" i="8"/>
  <c r="AD18" i="8"/>
  <c r="AD8" i="8"/>
  <c r="AD33" i="8"/>
  <c r="AD41" i="8"/>
  <c r="AD53" i="8"/>
  <c r="AD16" i="8"/>
  <c r="AD28" i="8"/>
  <c r="AD42" i="8"/>
  <c r="AD32" i="8"/>
  <c r="AD25" i="8"/>
  <c r="AD30" i="8"/>
  <c r="AD39" i="8"/>
  <c r="AD31" i="8"/>
  <c r="AD51" i="8"/>
  <c r="AD54" i="8"/>
  <c r="AD56" i="8"/>
  <c r="AD44" i="8"/>
  <c r="AD37" i="8"/>
  <c r="AD23" i="8"/>
  <c r="AD52" i="8"/>
  <c r="AD57" i="8"/>
  <c r="AD50" i="8"/>
  <c r="AD5" i="8"/>
  <c r="AD21" i="8"/>
  <c r="AD20" i="8"/>
  <c r="AD29" i="8"/>
  <c r="AD55" i="8"/>
  <c r="AD7" i="8"/>
  <c r="AD38" i="8"/>
  <c r="AE41" i="1"/>
  <c r="AE23" i="1" l="1"/>
  <c r="AE28" i="1"/>
  <c r="AE18" i="1"/>
  <c r="AE4" i="1"/>
  <c r="AE9" i="1"/>
  <c r="AE47" i="1"/>
  <c r="AE40" i="1"/>
  <c r="AE58" i="1"/>
  <c r="AE45" i="1"/>
  <c r="AE44" i="1"/>
  <c r="AE8" i="1"/>
  <c r="AE35" i="1"/>
  <c r="AE19" i="1"/>
  <c r="AE26" i="1"/>
  <c r="AE3" i="1"/>
  <c r="AE10" i="1"/>
  <c r="AE57" i="1"/>
  <c r="AE43" i="1"/>
  <c r="AE13" i="1"/>
  <c r="AE5" i="1"/>
  <c r="AE27" i="1"/>
  <c r="AE17" i="1"/>
  <c r="AE34" i="1"/>
  <c r="AE14" i="1"/>
  <c r="AE29" i="1"/>
  <c r="AE30" i="1"/>
  <c r="AE33" i="1"/>
  <c r="AE48" i="1"/>
  <c r="AE22" i="1"/>
  <c r="AE54" i="1"/>
  <c r="AE36" i="1"/>
  <c r="AE16" i="1"/>
  <c r="AE15" i="1"/>
  <c r="AE6" i="1"/>
  <c r="AE7" i="1"/>
  <c r="AE46" i="1"/>
  <c r="AE12" i="1"/>
  <c r="AE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tc={CA755D68-6BC0-4DDE-839B-227FC92A8D1D}</author>
  </authors>
  <commentList>
    <comment ref="F2" authorId="0" shapeId="0" xr:uid="{CA755D68-6BC0-4DDE-839B-227FC92A8D1D}">
      <text>
        <t>[Threaded comment]
Your version of Excel allows you to read this threaded comment; however, any edits to it will get removed if the file is opened in a newer version of Excel. Learn more: https://go.microsoft.com/fwlink/?linkid=870924
Comment:
    We did not use forecasted LOS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tc={BF9DC1E8-E3C4-4108-AF8E-1B5192EA52F8}</author>
  </authors>
  <commentList>
    <comment ref="F2" authorId="0" shapeId="0" xr:uid="{BF9DC1E8-E3C4-4108-AF8E-1B5192EA52F8}">
      <text>
        <t>[Threaded comment]
Your version of Excel allows you to read this threaded comment; however, any edits to it will get removed if the file is opened in a newer version of Excel. Learn more: https://go.microsoft.com/fwlink/?linkid=870924
Comment:
    We did not use forecasted LOS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<sst xmlns="http://schemas.openxmlformats.org/spreadsheetml/2006/main" count="2185" uniqueCount="340">
  <si>
    <t>mobility, reliability, and connectvity</t>
  </si>
  <si>
    <t>safety and security</t>
  </si>
  <si>
    <t>asset preservation and technology deployment</t>
  </si>
  <si>
    <t>customer service, stewardship and sustainability, and equity</t>
  </si>
  <si>
    <t>corridor_j</t>
  </si>
  <si>
    <t>existing vc</t>
  </si>
  <si>
    <t>forecasted vc</t>
  </si>
  <si>
    <t>forecasted LOS</t>
  </si>
  <si>
    <t>TTRI</t>
  </si>
  <si>
    <t>delay_psgr_s_corr</t>
  </si>
  <si>
    <t>delay_trk_s_corr</t>
  </si>
  <si>
    <t>fast avoid existing</t>
  </si>
  <si>
    <t>fast avoid forecasted</t>
  </si>
  <si>
    <t>short avoid existing</t>
  </si>
  <si>
    <t>short avoid forecast</t>
  </si>
  <si>
    <t>truck-related crashes</t>
  </si>
  <si>
    <t>frontage roads</t>
  </si>
  <si>
    <t>% lane mileage with 2 or less lanes</t>
  </si>
  <si>
    <t>shoulder width</t>
  </si>
  <si>
    <t>Pavement Conditions</t>
  </si>
  <si>
    <t>Bridge Condition</t>
  </si>
  <si>
    <t>16' bridge or lower</t>
  </si>
  <si>
    <t>ITS</t>
  </si>
  <si>
    <t>exposure to risk</t>
  </si>
  <si>
    <t>access to historic, cultural, and tourist activities</t>
  </si>
  <si>
    <t>EV charging inventory and proximity</t>
  </si>
  <si>
    <t>access to rest areas/truck parking</t>
  </si>
  <si>
    <t>R2R_N_corridors_Final_Equity_091124</t>
  </si>
  <si>
    <t>240AA1005</t>
  </si>
  <si>
    <t>Medium</t>
  </si>
  <si>
    <t>Low</t>
  </si>
  <si>
    <t>FM0305-KG</t>
  </si>
  <si>
    <t>High</t>
  </si>
  <si>
    <t>FM0490-KG</t>
  </si>
  <si>
    <t>FM0624-KG</t>
  </si>
  <si>
    <t>FM0649-KG</t>
  </si>
  <si>
    <t>FM0650-KG</t>
  </si>
  <si>
    <t>FM0681-KG</t>
  </si>
  <si>
    <t>FM0755-KG</t>
  </si>
  <si>
    <t>FM1015-KG</t>
  </si>
  <si>
    <t>FM1017-KG</t>
  </si>
  <si>
    <t>FM1021-KG</t>
  </si>
  <si>
    <t>FM1023-KG</t>
  </si>
  <si>
    <t>FM1472-KG</t>
  </si>
  <si>
    <t>FM2369-KG</t>
  </si>
  <si>
    <t>FM2644-KG</t>
  </si>
  <si>
    <t>FM3380-KG</t>
  </si>
  <si>
    <t>RM1111-KG</t>
  </si>
  <si>
    <t>SH0016-1</t>
  </si>
  <si>
    <t>SH0016-2</t>
  </si>
  <si>
    <t>SH0017-KG</t>
  </si>
  <si>
    <t>SH0020-KG</t>
  </si>
  <si>
    <t>SH0044-1</t>
  </si>
  <si>
    <t>SH0044-2</t>
  </si>
  <si>
    <t>SH0072-KG</t>
  </si>
  <si>
    <t>SH0085-KG</t>
  </si>
  <si>
    <t>SH0097-KG</t>
  </si>
  <si>
    <t>SH0107-KG</t>
  </si>
  <si>
    <t>SH0141-KG</t>
  </si>
  <si>
    <t>SH0173-1</t>
  </si>
  <si>
    <t>SH0173-2</t>
  </si>
  <si>
    <t>SH0186-KG</t>
  </si>
  <si>
    <t>SH0255-KG</t>
  </si>
  <si>
    <t>SH0285-KG</t>
  </si>
  <si>
    <t>SH0349-KG</t>
  </si>
  <si>
    <t>SH0359-1</t>
  </si>
  <si>
    <t>SH0359-2</t>
  </si>
  <si>
    <t>SH0359-3</t>
  </si>
  <si>
    <t>SL0079-KG</t>
  </si>
  <si>
    <t>SL0195-F</t>
  </si>
  <si>
    <t>SL0480-F</t>
  </si>
  <si>
    <t>SL0480-KG</t>
  </si>
  <si>
    <t>US0057-KG</t>
  </si>
  <si>
    <t>US0059-KG</t>
  </si>
  <si>
    <t>US0062-KG</t>
  </si>
  <si>
    <t>US0067/90-</t>
  </si>
  <si>
    <t>US0067-KG</t>
  </si>
  <si>
    <t>US0083-1</t>
  </si>
  <si>
    <t>US0083-2</t>
  </si>
  <si>
    <t>US0083-3</t>
  </si>
  <si>
    <t>US0090-1</t>
  </si>
  <si>
    <t>US0090-2</t>
  </si>
  <si>
    <t>US0190-KG</t>
  </si>
  <si>
    <t>US0277-1</t>
  </si>
  <si>
    <t>US0277-2</t>
  </si>
  <si>
    <t>US0285-KG</t>
  </si>
  <si>
    <t>US0385-KG</t>
  </si>
  <si>
    <t>Multimodal</t>
  </si>
  <si>
    <t>fast_avoid_existing</t>
  </si>
  <si>
    <t>safety and security - Ardurra</t>
  </si>
  <si>
    <t>bridge strikes - Not Important bc addressed in 15 ft or lower metric</t>
  </si>
  <si>
    <t>ITS-Ardurra</t>
  </si>
  <si>
    <t>economic competitiveness, cross-border resiliency, and sustainable funding - these measures are either addressed in equity (for econ comp) or not measurable, ignore</t>
  </si>
  <si>
    <t>RR_crash</t>
  </si>
  <si>
    <t>Safety</t>
  </si>
  <si>
    <t>Miles</t>
  </si>
  <si>
    <t>RIA_RTE_ID</t>
  </si>
  <si>
    <t>SUM_Miles</t>
  </si>
  <si>
    <t>MAX_Region</t>
  </si>
  <si>
    <t>Shape_Leng</t>
  </si>
  <si>
    <t>Corridor_j</t>
  </si>
  <si>
    <t>Corridor</t>
  </si>
  <si>
    <t>Row_Labels</t>
  </si>
  <si>
    <t>AvgMM_Scor</t>
  </si>
  <si>
    <t>ObjectID</t>
  </si>
  <si>
    <t>Score</t>
  </si>
  <si>
    <t>South</t>
  </si>
  <si>
    <t>SL 195-F</t>
  </si>
  <si>
    <t>West</t>
  </si>
  <si>
    <t>FM 305</t>
  </si>
  <si>
    <t>FM 490</t>
  </si>
  <si>
    <t>FM 624</t>
  </si>
  <si>
    <t>FM 649</t>
  </si>
  <si>
    <t>FM 650</t>
  </si>
  <si>
    <t>FM 681</t>
  </si>
  <si>
    <t>FM 755</t>
  </si>
  <si>
    <t>FM 1015</t>
  </si>
  <si>
    <t>FM 1017</t>
  </si>
  <si>
    <t>Central</t>
  </si>
  <si>
    <t>FM 1021</t>
  </si>
  <si>
    <t>FM 1023</t>
  </si>
  <si>
    <t>FM 1472</t>
  </si>
  <si>
    <t>FM 2369</t>
  </si>
  <si>
    <t>FM 2644</t>
  </si>
  <si>
    <t>FM 3380</t>
  </si>
  <si>
    <t>RM 1111</t>
  </si>
  <si>
    <t>SH 017</t>
  </si>
  <si>
    <t>SH 020</t>
  </si>
  <si>
    <t>SH 072</t>
  </si>
  <si>
    <t>SH 085</t>
  </si>
  <si>
    <t>SH 097</t>
  </si>
  <si>
    <t>SH 107</t>
  </si>
  <si>
    <t>SH 141</t>
  </si>
  <si>
    <t>SH 173-2</t>
  </si>
  <si>
    <t>SH 186</t>
  </si>
  <si>
    <t>SH 255</t>
  </si>
  <si>
    <t>SH 285</t>
  </si>
  <si>
    <t>SL 079</t>
  </si>
  <si>
    <t>US 057</t>
  </si>
  <si>
    <t>US 059</t>
  </si>
  <si>
    <t>US 062</t>
  </si>
  <si>
    <t>US 067</t>
  </si>
  <si>
    <t>US0067/90</t>
  </si>
  <si>
    <t>US 067/90</t>
  </si>
  <si>
    <t>US 190</t>
  </si>
  <si>
    <t>US 285</t>
  </si>
  <si>
    <t>US 385</t>
  </si>
  <si>
    <t>US 090-1</t>
  </si>
  <si>
    <t>SH 349</t>
  </si>
  <si>
    <t>US 090-2</t>
  </si>
  <si>
    <t>US 083-3</t>
  </si>
  <si>
    <t>SH 016-1</t>
  </si>
  <si>
    <t>US 277-1</t>
  </si>
  <si>
    <t>US 277-2</t>
  </si>
  <si>
    <t>US 083-2</t>
  </si>
  <si>
    <t>US 083-1</t>
  </si>
  <si>
    <t>SH 359-1</t>
  </si>
  <si>
    <t>SH 359-2</t>
  </si>
  <si>
    <t>SH 359-3</t>
  </si>
  <si>
    <t>SH 173-1</t>
  </si>
  <si>
    <t>SH 044-1</t>
  </si>
  <si>
    <t>SH 044-2</t>
  </si>
  <si>
    <t>SH 016-2</t>
  </si>
  <si>
    <t>SL 480</t>
  </si>
  <si>
    <t>SL 480-F</t>
  </si>
  <si>
    <t>Congestion_metric</t>
  </si>
  <si>
    <t>PV_FB_22</t>
  </si>
  <si>
    <t>PV_SB_22</t>
  </si>
  <si>
    <t>Trk_FB_22</t>
  </si>
  <si>
    <t>Trk_SB_22</t>
  </si>
  <si>
    <t>PV_Fcat_22</t>
  </si>
  <si>
    <t>Trk_Scat_22</t>
  </si>
  <si>
    <t>PV_FB_50</t>
  </si>
  <si>
    <t>PV_SB_50</t>
  </si>
  <si>
    <t>Trk_FB_50</t>
  </si>
  <si>
    <t>Trk_SB_50</t>
  </si>
  <si>
    <t>PV_Fcat_50</t>
  </si>
  <si>
    <t>Trk_Scat_50</t>
  </si>
  <si>
    <t>PV_Scat_22</t>
  </si>
  <si>
    <t>Trk_Fcat_22</t>
  </si>
  <si>
    <t>PV_Inefficiency_22</t>
  </si>
  <si>
    <t>Trk_Inefficiency_22</t>
  </si>
  <si>
    <t>PV_Scat_50</t>
  </si>
  <si>
    <t>PV_Inefficiency_50</t>
  </si>
  <si>
    <t>Trk_Fcat_50</t>
  </si>
  <si>
    <t>Trk_Inefficiency_50</t>
  </si>
  <si>
    <t>Utilize_Med</t>
  </si>
  <si>
    <t>Utilize_High</t>
  </si>
  <si>
    <t>Avoid_Low</t>
  </si>
  <si>
    <t>No_Change</t>
  </si>
  <si>
    <t>Avoid_Med</t>
  </si>
  <si>
    <t>Avoid_High</t>
  </si>
  <si>
    <t>Utilize_Low</t>
  </si>
  <si>
    <t>Med</t>
  </si>
  <si>
    <t>33%tile</t>
  </si>
  <si>
    <t>66%tile</t>
  </si>
  <si>
    <t>Multimodal Need</t>
  </si>
  <si>
    <t>frontage roads Need</t>
  </si>
  <si>
    <t>Yes</t>
  </si>
  <si>
    <t>No</t>
  </si>
  <si>
    <t>frontage roads exists?</t>
  </si>
  <si>
    <t>16' bridge or lower Need</t>
  </si>
  <si>
    <t>less than below</t>
  </si>
  <si>
    <t>Bridge Condition Need</t>
  </si>
  <si>
    <t>equals to 1</t>
  </si>
  <si>
    <t>greater than 1</t>
  </si>
  <si>
    <t>ITS Need</t>
  </si>
  <si>
    <t>Lower than below</t>
  </si>
  <si>
    <t>Metric Need</t>
  </si>
  <si>
    <t>The higher the value, the bigger the need</t>
  </si>
  <si>
    <t>Qualitative metric, low is good and high is bad</t>
  </si>
  <si>
    <t>Binary metric, Need score dependent on the nature of the metric</t>
  </si>
  <si>
    <t>The higher the value, the lower the need</t>
  </si>
  <si>
    <t>Special metric</t>
  </si>
  <si>
    <t>shoulder width Need</t>
  </si>
  <si>
    <t>PV_Inefficiency_22 Need</t>
  </si>
  <si>
    <t>Trk_Inefficiency_22 Need</t>
  </si>
  <si>
    <t>PV_Inefficiency_50 Need</t>
  </si>
  <si>
    <t>Trk_Inefficiency_50 Need</t>
  </si>
  <si>
    <t>Qualitative metric, low is bad, high is good</t>
  </si>
  <si>
    <t>Metric scores</t>
  </si>
  <si>
    <t>Metric</t>
  </si>
  <si>
    <t>Bucket</t>
  </si>
  <si>
    <t>Equity</t>
  </si>
  <si>
    <t>Bucket Weight</t>
  </si>
  <si>
    <t>uno</t>
  </si>
  <si>
    <t>Unique Bucket</t>
  </si>
  <si>
    <t>Bucket sum</t>
  </si>
  <si>
    <t>Metric Weight within the bucket</t>
  </si>
  <si>
    <t>Bucket Weight within the final score</t>
  </si>
  <si>
    <t>look up metric above for score, use highlighted cells</t>
  </si>
  <si>
    <t>Metric Score</t>
  </si>
  <si>
    <t>Final Score</t>
  </si>
  <si>
    <t>determined by: SUM(metric weight X bucket weight X Metric Score) for each metric</t>
  </si>
  <si>
    <t>mob_rel_con_score</t>
  </si>
  <si>
    <t>safe_sec_score</t>
  </si>
  <si>
    <t>asst_pres_tech_score</t>
  </si>
  <si>
    <t>cust_stew_sust_eq_score</t>
  </si>
  <si>
    <t>final_score</t>
  </si>
  <si>
    <t>Weighting Crosswalk</t>
  </si>
  <si>
    <t>Criterion</t>
  </si>
  <si>
    <t>Goal</t>
  </si>
  <si>
    <t># of Criteria within each Goal</t>
  </si>
  <si>
    <t>Criterion Weight within the Goal</t>
  </si>
  <si>
    <t>Goal Weight within the Final Score</t>
  </si>
  <si>
    <t>Criterion Score</t>
  </si>
  <si>
    <t>1 to 3 based on tertiles</t>
  </si>
  <si>
    <t>1 to 3 based on low/med/high</t>
  </si>
  <si>
    <t>3 to 1 based on low/med/high</t>
  </si>
  <si>
    <t>0 if 1, 1 if 0</t>
  </si>
  <si>
    <t>3 to 1 based on tertiles</t>
  </si>
  <si>
    <t>1 if 1, 0 if 0</t>
  </si>
  <si>
    <t>1 if 1, 0 otherwise</t>
  </si>
  <si>
    <t>region</t>
  </si>
  <si>
    <t>central</t>
  </si>
  <si>
    <t>south</t>
  </si>
  <si>
    <t>west</t>
  </si>
  <si>
    <t>Top 10 Corridors by Needs Score</t>
  </si>
  <si>
    <t>US 83 (part 3)</t>
  </si>
  <si>
    <t>SH 173 (part 2)</t>
  </si>
  <si>
    <t>US 90 (part 1)</t>
  </si>
  <si>
    <t>US 83 (part 1)</t>
  </si>
  <si>
    <t>US 57</t>
  </si>
  <si>
    <t>US 62</t>
  </si>
  <si>
    <t>US 90 (part 2)</t>
  </si>
  <si>
    <t>SH 44 (part 2)</t>
  </si>
  <si>
    <t>Mobility, Reliability, and Connectivity</t>
  </si>
  <si>
    <t>Safety and Security</t>
  </si>
  <si>
    <t>Asset Preservation and Technology</t>
  </si>
  <si>
    <t>Customer Service and Stewardship</t>
  </si>
  <si>
    <t>Final Needs Score</t>
  </si>
  <si>
    <t>Region</t>
  </si>
  <si>
    <t>Bucket weight lookup - change "Bucket Weight" values to change the weight of each bucket in the final score</t>
  </si>
  <si>
    <t>Existing V/C</t>
  </si>
  <si>
    <t>Forecasted V/C</t>
  </si>
  <si>
    <t>Passenger Vehicle Delay</t>
  </si>
  <si>
    <t>Truck Delay</t>
  </si>
  <si>
    <t>Passenger Vehicle Route Directness 2022</t>
  </si>
  <si>
    <t>Truck Route Directness 2022</t>
  </si>
  <si>
    <t>Passenger Vehicle Route Directness 2050</t>
  </si>
  <si>
    <t>Truck Route Directness 2050</t>
  </si>
  <si>
    <t>Railroad Crash</t>
  </si>
  <si>
    <t>Frontage Roads</t>
  </si>
  <si>
    <t>% Lane Miles w 2 or Less Lanes</t>
  </si>
  <si>
    <t>Shoulder Width</t>
  </si>
  <si>
    <t>Pavement Condition</t>
  </si>
  <si>
    <t>16' Bridge or Lower</t>
  </si>
  <si>
    <t>Access to Hist/Cultrl/Trst Activities</t>
  </si>
  <si>
    <t>EV Charging Availability</t>
  </si>
  <si>
    <t>Access to Rest Areas/Truck Parking</t>
  </si>
  <si>
    <t>Rank</t>
  </si>
  <si>
    <t>US 83 (Kimble to Dimmit County)</t>
  </si>
  <si>
    <t>SH 173 (Kerr to  Frio County)</t>
  </si>
  <si>
    <t>US 90 (Medina to Val Verde County)</t>
  </si>
  <si>
    <t>US 83 (Starr to Webb County)</t>
  </si>
  <si>
    <t>US 90 (Terrell to Culberson County)</t>
  </si>
  <si>
    <t>SH 44 (Jim Wells to Duval County)</t>
  </si>
  <si>
    <t>Corridor_excel</t>
  </si>
  <si>
    <t>Mark_Access_score</t>
  </si>
  <si>
    <t>Pe_G_M_score</t>
  </si>
  <si>
    <t>Net_Desg_score</t>
  </si>
  <si>
    <t>Percentiles for Network Designation Scores</t>
  </si>
  <si>
    <t>People and Goods Movement</t>
  </si>
  <si>
    <t>Market Access</t>
  </si>
  <si>
    <t>Network Designation Score</t>
  </si>
  <si>
    <t>Percentiles for Needs Assessment Score</t>
  </si>
  <si>
    <t>Needs_Cat</t>
  </si>
  <si>
    <t>ND_Cat</t>
  </si>
  <si>
    <t>Mobility, Reliability, &amp; Connectivity</t>
  </si>
  <si>
    <t>Safety &amp; Security</t>
  </si>
  <si>
    <t>Needs Assessment</t>
  </si>
  <si>
    <t>Network Designation</t>
  </si>
  <si>
    <t>Corridor Needs</t>
  </si>
  <si>
    <t>Corridor Importance</t>
  </si>
  <si>
    <t>No Data</t>
  </si>
  <si>
    <r>
      <t>Asset Preservation and Technology Deployment</t>
    </r>
    <r>
      <rPr>
        <b/>
        <sz val="9"/>
        <color theme="1"/>
        <rFont val="Verdana"/>
        <family val="2"/>
      </rPr>
      <t> </t>
    </r>
  </si>
  <si>
    <r>
      <t>Customer Service, Stewardship and Sustainability, and Equity</t>
    </r>
    <r>
      <rPr>
        <b/>
        <sz val="9"/>
        <color theme="1"/>
        <rFont val="Verdana"/>
        <family val="2"/>
      </rPr>
      <t> </t>
    </r>
  </si>
  <si>
    <t>SH 17</t>
  </si>
  <si>
    <t>SH 20</t>
  </si>
  <si>
    <t>US 67</t>
  </si>
  <si>
    <t>SH 85</t>
  </si>
  <si>
    <t>SH 97</t>
  </si>
  <si>
    <t>SH 72</t>
  </si>
  <si>
    <t>US 59</t>
  </si>
  <si>
    <t>SL 79</t>
  </si>
  <si>
    <t>SL 195</t>
  </si>
  <si>
    <t>SH 44 (Webb to Duval County)</t>
  </si>
  <si>
    <t>US 67/90 (Presidio to Brewster County)</t>
  </si>
  <si>
    <t>SH 359 (Webb to Jim Hogg County)</t>
  </si>
  <si>
    <t>SH 359 (Jim Hogg to Duval County)</t>
  </si>
  <si>
    <t>SH 359 (Jim Wells County)</t>
  </si>
  <si>
    <t>SH 173 (Atascosa County)</t>
  </si>
  <si>
    <t>SH 16 (Atascosa to Zapata County)</t>
  </si>
  <si>
    <t>SH 16 (Bandera County)</t>
  </si>
  <si>
    <t>US 277 (Schleicher to Val Verde County)</t>
  </si>
  <si>
    <t>US 277 (Val Verde to Dimmit County)</t>
  </si>
  <si>
    <t>US 83 (Webb County)</t>
  </si>
  <si>
    <t>SL 480 (N Eagle Pass)</t>
  </si>
  <si>
    <t>SL 480 (S Eagle Pass)</t>
  </si>
  <si>
    <t>240AA1005 (Webb County)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</si>
</sst>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0"/>
    <numFmt numFmtId="165" formatCode="0.000000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rgb="FFFFFFFF"/>
      <name val="Verdana"/>
    </font>
    <font>
      <sz val="9"/>
      <color rgb="FF000000"/>
      <name val="Verdana"/>
    </font>
    <font>
      <b/>
      <sz val="9"/>
      <color theme="1"/>
      <name val="Verdana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56A9"/>
        <bgColor indexed="64"/>
      </patternFill>
    </fill>
    <fill>
      <patternFill patternType="solid">
        <fgColor rgb="FFCBD1E2"/>
        <bgColor indexed="64"/>
      </patternFill>
    </fill>
    <fill>
      <patternFill patternType="solid">
        <fgColor rgb="FFE7E9F1"/>
        <bgColor indexed="64"/>
      </patternFill>
    </fill>
    <fill>
      <patternFill patternType="solid">
        <fgColor theme="2" tint="-9.9978637043366805E-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rgb="FF0056A9"/>
      </left>
      <right style="medium">
        <color rgb="FFFFFFFF"/>
      </right>
      <top style="medium">
        <color rgb="FF0056A9"/>
      </top>
      <bottom style="medium">
        <color rgb="FF0056A9"/>
      </bottom>
      <diagonal/>
    </border>
    <border>
      <left style="medium">
        <color rgb="FFFFFFFF"/>
      </left>
      <right style="medium">
        <color rgb="FFFFFFFF"/>
      </right>
      <top style="medium">
        <color rgb="FF0056A9"/>
      </top>
      <bottom style="medium">
        <color rgb="FF0056A9"/>
      </bottom>
      <diagonal/>
    </border>
    <border>
      <left style="medium">
        <color rgb="FFFFFFFF"/>
      </left>
      <right style="medium">
        <color rgb="FF0056A9"/>
      </right>
      <top style="medium">
        <color rgb="FF0056A9"/>
      </top>
      <bottom style="medium">
        <color rgb="FF0056A9"/>
      </bottom>
      <diagonal/>
    </border>
    <border>
      <left style="medium">
        <color rgb="FF0056A9"/>
      </left>
      <right style="medium">
        <color rgb="FF0056A9"/>
      </right>
      <top style="medium">
        <color rgb="FF0056A9"/>
      </top>
      <bottom style="medium">
        <color rgb="FF0056A9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0" fillId="2" borderId="0" xfId="0" applyFill="1"/>
    <xf numFmtId="0" fontId="0" fillId="0" borderId="0" xfId="0" applyFill="1"/>
    <xf numFmtId="1" fontId="0" fillId="0" borderId="0" xfId="0" applyNumberFormat="1"/>
    <xf numFmtId="164" fontId="0" fillId="0" borderId="0" xfId="0" applyNumberFormat="1"/>
    <xf numFmtId="0" fontId="0" fillId="3" borderId="0" xfId="0" applyFill="1"/>
    <xf numFmtId="0" fontId="0" fillId="4" borderId="0" xfId="0" applyFill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1" fillId="0" borderId="1" xfId="0" applyFont="1" applyBorder="1"/>
    <xf numFmtId="0" fontId="1" fillId="2" borderId="3" xfId="0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0" xfId="0" applyBorder="1"/>
    <xf numFmtId="0" fontId="1" fillId="0" borderId="0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5" borderId="0" xfId="0" applyFont="1" applyFill="1" applyAlignment="1">
      <alignment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0" borderId="2" xfId="0" applyFont="1" applyBorder="1"/>
    <xf numFmtId="0" fontId="0" fillId="0" borderId="1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2" xfId="0" applyBorder="1"/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0" fillId="0" borderId="2" xfId="0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left" vertical="center" wrapText="1"/>
    </xf>
    <xf numFmtId="0" fontId="0" fillId="0" borderId="14" xfId="0" applyBorder="1"/>
    <xf numFmtId="0" fontId="0" fillId="0" borderId="2" xfId="0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0" fillId="0" borderId="14" xfId="0" applyBorder="1" applyAlignment="1">
      <alignment horizontal="left"/>
    </xf>
    <xf numFmtId="0" fontId="1" fillId="5" borderId="0" xfId="0" applyFont="1" applyFill="1"/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0" fontId="0" fillId="0" borderId="2" xfId="0" applyFill="1" applyBorder="1"/>
    <xf numFmtId="0" fontId="1" fillId="2" borderId="3" xfId="0" applyFont="1" applyFill="1" applyBorder="1" applyAlignment="1">
      <alignment wrapText="1"/>
    </xf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0" fillId="2" borderId="20" xfId="0" applyFill="1" applyBorder="1"/>
    <xf numFmtId="0" fontId="0" fillId="2" borderId="0" xfId="0" applyFill="1" applyBorder="1"/>
    <xf numFmtId="0" fontId="0" fillId="2" borderId="15" xfId="0" applyFill="1" applyBorder="1"/>
    <xf numFmtId="0" fontId="0" fillId="2" borderId="22" xfId="0" applyFill="1" applyBorder="1"/>
    <xf numFmtId="0" fontId="0" fillId="2" borderId="16" xfId="0" applyFill="1" applyBorder="1"/>
    <xf numFmtId="0" fontId="1" fillId="2" borderId="2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0" fillId="0" borderId="28" xfId="0" applyBorder="1"/>
    <xf numFmtId="0" fontId="1" fillId="0" borderId="29" xfId="0" applyFont="1" applyBorder="1" applyAlignment="1">
      <alignment horizontal="left" vertical="center" wrapText="1"/>
    </xf>
    <xf numFmtId="0" fontId="0" fillId="2" borderId="21" xfId="0" applyFill="1" applyBorder="1" applyAlignment="1">
      <alignment wrapText="1"/>
    </xf>
    <xf numFmtId="0" fontId="3" fillId="7" borderId="30" xfId="0" applyFont="1" applyFill="1" applyBorder="1" applyAlignment="1">
      <alignment horizontal="left" vertical="center" readingOrder="1"/>
    </xf>
    <xf numFmtId="0" fontId="3" fillId="7" borderId="31" xfId="0" applyFont="1" applyFill="1" applyBorder="1" applyAlignment="1">
      <alignment horizontal="left" vertical="center" readingOrder="1"/>
    </xf>
    <xf numFmtId="0" fontId="3" fillId="7" borderId="32" xfId="0" applyFont="1" applyFill="1" applyBorder="1" applyAlignment="1">
      <alignment horizontal="left" vertical="center" readingOrder="1"/>
    </xf>
    <xf numFmtId="0" fontId="4" fillId="8" borderId="33" xfId="0" applyFont="1" applyFill="1" applyBorder="1" applyAlignment="1">
      <alignment horizontal="center" readingOrder="1"/>
    </xf>
    <xf numFmtId="0" fontId="4" fillId="8" borderId="33" xfId="0" applyFont="1" applyFill="1" applyBorder="1" applyAlignment="1">
      <alignment horizontal="left" readingOrder="1"/>
    </xf>
    <xf numFmtId="0" fontId="4" fillId="8" borderId="33" xfId="0" applyFont="1" applyFill="1" applyBorder="1" applyAlignment="1">
      <alignment horizontal="right" readingOrder="1"/>
    </xf>
    <xf numFmtId="0" fontId="4" fillId="9" borderId="33" xfId="0" applyFont="1" applyFill="1" applyBorder="1" applyAlignment="1">
      <alignment horizontal="center" readingOrder="1"/>
    </xf>
    <xf numFmtId="0" fontId="4" fillId="9" borderId="33" xfId="0" applyFont="1" applyFill="1" applyBorder="1" applyAlignment="1">
      <alignment horizontal="left" readingOrder="1"/>
    </xf>
    <xf numFmtId="0" fontId="4" fillId="9" borderId="33" xfId="0" applyFont="1" applyFill="1" applyBorder="1" applyAlignment="1">
      <alignment horizontal="right" readingOrder="1"/>
    </xf>
    <xf numFmtId="166" fontId="4" fillId="8" borderId="33" xfId="0" applyNumberFormat="1" applyFont="1" applyFill="1" applyBorder="1" applyAlignment="1">
      <alignment horizontal="right" readingOrder="1"/>
    </xf>
    <xf numFmtId="166" fontId="4" fillId="9" borderId="33" xfId="0" applyNumberFormat="1" applyFont="1" applyFill="1" applyBorder="1" applyAlignment="1">
      <alignment horizontal="right" readingOrder="1"/>
    </xf>
    <xf numFmtId="0" fontId="0" fillId="0" borderId="20" xfId="0" applyBorder="1"/>
    <xf numFmtId="0" fontId="0" fillId="0" borderId="15" xfId="0" applyBorder="1"/>
    <xf numFmtId="0" fontId="0" fillId="0" borderId="21" xfId="0" applyBorder="1"/>
    <xf numFmtId="0" fontId="0" fillId="0" borderId="22" xfId="0" applyBorder="1"/>
    <xf numFmtId="0" fontId="0" fillId="0" borderId="16" xfId="0" applyBorder="1"/>
    <xf numFmtId="0" fontId="1" fillId="0" borderId="34" xfId="0" applyFont="1" applyBorder="1"/>
    <xf numFmtId="9" fontId="1" fillId="0" borderId="35" xfId="0" applyNumberFormat="1" applyFont="1" applyBorder="1"/>
    <xf numFmtId="9" fontId="1" fillId="0" borderId="36" xfId="0" applyNumberFormat="1" applyFont="1" applyBorder="1"/>
    <xf numFmtId="0" fontId="1" fillId="0" borderId="37" xfId="0" applyFont="1" applyBorder="1"/>
    <xf numFmtId="9" fontId="1" fillId="0" borderId="38" xfId="0" applyNumberFormat="1" applyFont="1" applyBorder="1"/>
    <xf numFmtId="9" fontId="1" fillId="0" borderId="39" xfId="0" applyNumberFormat="1" applyFont="1" applyBorder="1"/>
    <xf numFmtId="0" fontId="0" fillId="0" borderId="0" xfId="0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2" fontId="0" fillId="0" borderId="1" xfId="0" applyNumberFormat="1" applyBorder="1"/>
    <xf numFmtId="2" fontId="0" fillId="0" borderId="9" xfId="0" applyNumberFormat="1" applyBorder="1"/>
    <xf numFmtId="2" fontId="0" fillId="0" borderId="10" xfId="0" applyNumberFormat="1" applyBorder="1"/>
    <xf numFmtId="2" fontId="0" fillId="0" borderId="11" xfId="0" applyNumberFormat="1" applyBorder="1"/>
    <xf numFmtId="2" fontId="0" fillId="0" borderId="12" xfId="0" applyNumberFormat="1" applyBorder="1"/>
    <xf numFmtId="2" fontId="0" fillId="0" borderId="13" xfId="0" applyNumberFormat="1" applyBorder="1"/>
    <xf numFmtId="2" fontId="0" fillId="0" borderId="4" xfId="0" applyNumberFormat="1" applyBorder="1"/>
    <xf numFmtId="2" fontId="0" fillId="0" borderId="5" xfId="0" applyNumberFormat="1" applyBorder="1"/>
    <xf numFmtId="165" fontId="0" fillId="0" borderId="0" xfId="0" applyNumberFormat="1" applyFill="1"/>
    <xf numFmtId="0" fontId="0" fillId="0" borderId="0" xfId="0" applyAlignment="1">
      <alignment horizontal="center"/>
    </xf>
    <xf numFmtId="0" fontId="1" fillId="10" borderId="17" xfId="0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 vertical="center"/>
    </xf>
    <xf numFmtId="0" fontId="1" fillId="10" borderId="19" xfId="0" applyFont="1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1" fillId="0" borderId="40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25" xfId="0" applyBorder="1" applyAlignment="1">
      <alignment horizontal="center" wrapText="1"/>
    </xf>
  </cellXfs>
  <cellStyles count="1">
    <cellStyle name="Normal" xfId="0" builtinId="0"/>
  </cellStyles>
  <dxfs count="7">
    <dxf>
      <fill>
        <patternFill>
          <fgColor auto="1"/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5A33"/>
        </patternFill>
      </fill>
    </dxf>
  </dxfs>
  <tableStyles count="0" defaultTableStyle="TableStyleMedium2" defaultPivotStyle="PivotStyleLight16"/>
  <colors>
    <mruColors>
      <color rgb="FFFF5A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ausw00\Jobs3\67985%20&#8211;%20TxDOT%20TPP%20BTMP%20Implementation\WA02_Border_Region_Connectivity_Study\GIS\SHP\C&amp;M\C&amp;M%20TexSAM%20to%20HNTB%20Corridor-Segment%20Layers-V3\R2R_N_corridors_Final50.dbf" TargetMode="External"/><Relationship Id="rId1" Type="http://schemas.openxmlformats.org/officeDocument/2006/relationships/externalLinkPath" Target="file:///\\ausw00\Jobs3\67985%20&#8211;%20TxDOT%20TPP%20BTMP%20Implementation\WA02_Border_Region_Connectivity_Study\GIS\SHP\C&amp;M\C&amp;M%20TexSAM%20to%20HNTB%20Corridor-Segment%20Layers-V3\R2R_N_corridors_Final50.dbf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hntb.sharepoint.com/sites/dp_67985_BMPI_WA02/Shared%20Documents/WA02/2.0_Feas_Stdy/H.%20Border%20Region%20Connectivity%20Plan/Supporting%20Documents/Ardurra%20Products/241008_BTMP%20Files/241008_BTMP_Files/240920%20Network%20Assessment.xlsx" TargetMode="External"/><Relationship Id="rId2" Type="http://schemas.microsoft.com/office/2019/04/relationships/externalLinkLongPath" Target="/sites/dp_67985_BMPI_WA02/Shared%20Documents/WA02/2.0_Feas_Stdy/H.%20Border%20Region%20Connectivity%20Plan/Supporting%20Documents/Ardurra%20Products/241008_BTMP%20Files/241008_BTMP_Files/240920%20Network%20Assessment.xlsx?EDB88D59" TargetMode="External"/><Relationship Id="rId1" Type="http://schemas.openxmlformats.org/officeDocument/2006/relationships/externalLinkPath" Target="file:///\\EDB88D59\240920%20Network%20Assess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2R_N_corridors_Final50"/>
    </sheetNames>
    <sheetDataSet>
      <sheetData sheetId="0">
        <row r="2">
          <cell r="A2" t="str">
            <v>240AA1005</v>
          </cell>
          <cell r="B2">
            <v>12.562325212799999</v>
          </cell>
          <cell r="C2" t="str">
            <v>South</v>
          </cell>
          <cell r="D2">
            <v>12.562327761900001</v>
          </cell>
          <cell r="E2" t="str">
            <v>240AA1005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1</v>
          </cell>
          <cell r="N2">
            <v>0</v>
          </cell>
          <cell r="O2">
            <v>1</v>
          </cell>
          <cell r="P2">
            <v>0</v>
          </cell>
          <cell r="Q2">
            <v>0</v>
          </cell>
          <cell r="R2">
            <v>1</v>
          </cell>
          <cell r="S2">
            <v>0</v>
          </cell>
          <cell r="T2">
            <v>1</v>
          </cell>
          <cell r="U2">
            <v>0</v>
          </cell>
          <cell r="V2">
            <v>0</v>
          </cell>
          <cell r="W2">
            <v>1</v>
          </cell>
          <cell r="X2">
            <v>0</v>
          </cell>
          <cell r="Y2">
            <v>1</v>
          </cell>
          <cell r="Z2">
            <v>0</v>
          </cell>
          <cell r="AA2">
            <v>0</v>
          </cell>
          <cell r="AB2">
            <v>1</v>
          </cell>
          <cell r="AC2">
            <v>0</v>
          </cell>
          <cell r="AD2">
            <v>1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 t="str">
            <v>Medium</v>
          </cell>
          <cell r="AJ2" t="str">
            <v>Medium</v>
          </cell>
          <cell r="AK2" t="str">
            <v>Medium</v>
          </cell>
          <cell r="AL2" t="str">
            <v>Medium</v>
          </cell>
          <cell r="AM2" t="str">
            <v>No_Change</v>
          </cell>
          <cell r="AN2" t="str">
            <v>No_Change</v>
          </cell>
          <cell r="AO2" t="str">
            <v>No_Change</v>
          </cell>
          <cell r="AP2" t="str">
            <v>No_Change</v>
          </cell>
        </row>
        <row r="3">
          <cell r="A3" t="str">
            <v>FM0305-KG</v>
          </cell>
          <cell r="B3">
            <v>19.554896408699999</v>
          </cell>
          <cell r="C3" t="str">
            <v>West</v>
          </cell>
          <cell r="D3">
            <v>19.5548999407</v>
          </cell>
          <cell r="E3" t="str">
            <v>FM0305-KG</v>
          </cell>
          <cell r="F3">
            <v>4833.0137800000002</v>
          </cell>
          <cell r="G3">
            <v>72653.351172900002</v>
          </cell>
          <cell r="H3">
            <v>2597.6917090000002</v>
          </cell>
          <cell r="I3">
            <v>1117.661036</v>
          </cell>
          <cell r="J3">
            <v>3715.3527439999998</v>
          </cell>
          <cell r="K3">
            <v>8.3500000000000005E-7</v>
          </cell>
          <cell r="L3">
            <v>8.1100000000000006E-5</v>
          </cell>
          <cell r="M3">
            <v>1.0000022399999999</v>
          </cell>
          <cell r="N3">
            <v>7.5199999999999996E-7</v>
          </cell>
          <cell r="O3">
            <v>1.000001428</v>
          </cell>
          <cell r="P3">
            <v>9.8400000000000002E-7</v>
          </cell>
          <cell r="Q3">
            <v>9.5500000000000004E-5</v>
          </cell>
          <cell r="R3">
            <v>1.0000026369999999</v>
          </cell>
          <cell r="S3">
            <v>8.85E-7</v>
          </cell>
          <cell r="T3">
            <v>1.0000016819999999</v>
          </cell>
          <cell r="U3">
            <v>4.0199999999999996E-6</v>
          </cell>
          <cell r="V3">
            <v>3.8999999999999999E-4</v>
          </cell>
          <cell r="W3">
            <v>1.0000107650000001</v>
          </cell>
          <cell r="X3">
            <v>3.6100000000000002E-6</v>
          </cell>
          <cell r="Y3">
            <v>1.0000068660000001</v>
          </cell>
          <cell r="Z3">
            <v>0</v>
          </cell>
          <cell r="AA3">
            <v>0</v>
          </cell>
          <cell r="AB3">
            <v>1</v>
          </cell>
          <cell r="AC3">
            <v>0</v>
          </cell>
          <cell r="AD3">
            <v>1</v>
          </cell>
          <cell r="AE3">
            <v>14.52015063</v>
          </cell>
          <cell r="AF3">
            <v>154.74467680000001</v>
          </cell>
          <cell r="AG3">
            <v>15.34807297</v>
          </cell>
          <cell r="AH3">
            <v>155.4443655</v>
          </cell>
          <cell r="AI3" t="str">
            <v>Medium</v>
          </cell>
          <cell r="AJ3" t="str">
            <v>High</v>
          </cell>
          <cell r="AK3" t="str">
            <v>Medium</v>
          </cell>
          <cell r="AL3" t="str">
            <v>High</v>
          </cell>
          <cell r="AM3" t="str">
            <v>Avoid_Low</v>
          </cell>
          <cell r="AN3" t="str">
            <v>Avoid_High</v>
          </cell>
          <cell r="AO3" t="str">
            <v>Avoid_Low</v>
          </cell>
          <cell r="AP3" t="str">
            <v>Avoid_High</v>
          </cell>
        </row>
        <row r="4">
          <cell r="A4" t="str">
            <v>FM0490-KG</v>
          </cell>
          <cell r="B4">
            <v>13.9860489811</v>
          </cell>
          <cell r="C4" t="str">
            <v>South</v>
          </cell>
          <cell r="D4">
            <v>13.986051892300001</v>
          </cell>
          <cell r="E4" t="str">
            <v>FM0490-KG</v>
          </cell>
          <cell r="F4">
            <v>7353.5165880000004</v>
          </cell>
          <cell r="G4">
            <v>93524.695031700001</v>
          </cell>
          <cell r="H4">
            <v>6020.4785540000003</v>
          </cell>
          <cell r="I4">
            <v>666.5190169</v>
          </cell>
          <cell r="J4">
            <v>6686.9975709999999</v>
          </cell>
          <cell r="K4">
            <v>3.0600000000000001E-4</v>
          </cell>
          <cell r="L4">
            <v>2.9720796000000001E-2</v>
          </cell>
          <cell r="M4">
            <v>1.0008209349999999</v>
          </cell>
          <cell r="N4">
            <v>2.9599999999999998E-4</v>
          </cell>
          <cell r="O4">
            <v>1.000523493</v>
          </cell>
          <cell r="P4">
            <v>1.19E-5</v>
          </cell>
          <cell r="Q4">
            <v>1.15E-3</v>
          </cell>
          <cell r="R4">
            <v>1.000031881</v>
          </cell>
          <cell r="S4">
            <v>1.15E-5</v>
          </cell>
          <cell r="T4">
            <v>1.000020334</v>
          </cell>
          <cell r="U4">
            <v>4.26E-4</v>
          </cell>
          <cell r="V4">
            <v>4.1360032999999997E-2</v>
          </cell>
          <cell r="W4">
            <v>1.001142609</v>
          </cell>
          <cell r="X4">
            <v>4.1100000000000002E-4</v>
          </cell>
          <cell r="Y4">
            <v>1.0007285530000001</v>
          </cell>
          <cell r="Z4">
            <v>0</v>
          </cell>
          <cell r="AA4">
            <v>0</v>
          </cell>
          <cell r="AB4">
            <v>1</v>
          </cell>
          <cell r="AC4">
            <v>0</v>
          </cell>
          <cell r="AD4">
            <v>1</v>
          </cell>
          <cell r="AE4">
            <v>-1120.3283699999999</v>
          </cell>
          <cell r="AF4">
            <v>-48.310499010000001</v>
          </cell>
          <cell r="AG4">
            <v>-1120.4773560000001</v>
          </cell>
          <cell r="AH4">
            <v>-48.35336985</v>
          </cell>
          <cell r="AI4" t="str">
            <v>Low</v>
          </cell>
          <cell r="AJ4" t="str">
            <v>Low</v>
          </cell>
          <cell r="AK4" t="str">
            <v>Low</v>
          </cell>
          <cell r="AL4" t="str">
            <v>Low</v>
          </cell>
          <cell r="AM4" t="str">
            <v>Utilize_High</v>
          </cell>
          <cell r="AN4" t="str">
            <v>Utilize_High</v>
          </cell>
          <cell r="AO4" t="str">
            <v>Utilize_High</v>
          </cell>
          <cell r="AP4" t="str">
            <v>Utilize_High</v>
          </cell>
        </row>
        <row r="5">
          <cell r="A5" t="str">
            <v>FM0624-KG</v>
          </cell>
          <cell r="B5">
            <v>97.643793810199995</v>
          </cell>
          <cell r="C5" t="str">
            <v>South</v>
          </cell>
          <cell r="D5">
            <v>97.6438135139</v>
          </cell>
          <cell r="E5" t="str">
            <v>FM0624-KG</v>
          </cell>
          <cell r="F5">
            <v>1604.5760540000001</v>
          </cell>
          <cell r="G5">
            <v>119762.977801999</v>
          </cell>
          <cell r="H5">
            <v>848.48212699999999</v>
          </cell>
          <cell r="I5">
            <v>378.04696360000003</v>
          </cell>
          <cell r="J5">
            <v>1226.5290910000001</v>
          </cell>
          <cell r="K5">
            <v>9.0499999999999997E-6</v>
          </cell>
          <cell r="L5">
            <v>8.7927199999999995E-4</v>
          </cell>
          <cell r="M5">
            <v>1.000024281</v>
          </cell>
          <cell r="N5">
            <v>8.6300000000000004E-6</v>
          </cell>
          <cell r="O5">
            <v>1.0000154859999999</v>
          </cell>
          <cell r="P5">
            <v>5.5500000000000001E-8</v>
          </cell>
          <cell r="Q5">
            <v>5.3900000000000001E-6</v>
          </cell>
          <cell r="R5">
            <v>1.0000001489999999</v>
          </cell>
          <cell r="S5">
            <v>5.2800000000000003E-8</v>
          </cell>
          <cell r="T5">
            <v>1.0000000950000001</v>
          </cell>
          <cell r="U5">
            <v>3.1300000000000001E-6</v>
          </cell>
          <cell r="V5">
            <v>3.0408399999999998E-4</v>
          </cell>
          <cell r="W5">
            <v>1.000008397</v>
          </cell>
          <cell r="X5">
            <v>3.0000000000000001E-6</v>
          </cell>
          <cell r="Y5">
            <v>1.0000053550000001</v>
          </cell>
          <cell r="Z5">
            <v>0</v>
          </cell>
          <cell r="AA5">
            <v>0</v>
          </cell>
          <cell r="AB5">
            <v>1</v>
          </cell>
          <cell r="AC5">
            <v>0</v>
          </cell>
          <cell r="AD5">
            <v>1</v>
          </cell>
          <cell r="AE5">
            <v>-5.582061113</v>
          </cell>
          <cell r="AF5">
            <v>6.1302686309999999</v>
          </cell>
          <cell r="AG5">
            <v>-5.6026442799999998</v>
          </cell>
          <cell r="AH5">
            <v>6.0915352440000001</v>
          </cell>
          <cell r="AI5" t="str">
            <v>Medium</v>
          </cell>
          <cell r="AJ5" t="str">
            <v>Medium</v>
          </cell>
          <cell r="AK5" t="str">
            <v>Medium</v>
          </cell>
          <cell r="AL5" t="str">
            <v>Medium</v>
          </cell>
          <cell r="AM5" t="str">
            <v>Utilize_Low</v>
          </cell>
          <cell r="AN5" t="str">
            <v>Avoid_Med</v>
          </cell>
          <cell r="AO5" t="str">
            <v>Utilize_Low</v>
          </cell>
          <cell r="AP5" t="str">
            <v>Avoid_Med</v>
          </cell>
        </row>
        <row r="6">
          <cell r="A6" t="str">
            <v>FM0649-KG</v>
          </cell>
          <cell r="B6">
            <v>76.826502077599997</v>
          </cell>
          <cell r="C6" t="str">
            <v>South</v>
          </cell>
          <cell r="D6">
            <v>76.826517841400005</v>
          </cell>
          <cell r="E6" t="str">
            <v>FM0649-KG</v>
          </cell>
          <cell r="F6">
            <v>1630.3401960000001</v>
          </cell>
          <cell r="G6">
            <v>93072.855916</v>
          </cell>
          <cell r="H6">
            <v>792.59549170000003</v>
          </cell>
          <cell r="I6">
            <v>418.87235220000002</v>
          </cell>
          <cell r="J6">
            <v>1211.467844</v>
          </cell>
          <cell r="K6">
            <v>1.5200000000000001E-6</v>
          </cell>
          <cell r="L6">
            <v>1.4799999999999999E-4</v>
          </cell>
          <cell r="M6">
            <v>1.000004076</v>
          </cell>
          <cell r="N6">
            <v>1.26E-6</v>
          </cell>
          <cell r="O6">
            <v>1.0000026</v>
          </cell>
          <cell r="P6">
            <v>1.72E-7</v>
          </cell>
          <cell r="Q6">
            <v>1.6699999999999999E-5</v>
          </cell>
          <cell r="R6">
            <v>1.0000004600000001</v>
          </cell>
          <cell r="S6">
            <v>1.4100000000000001E-7</v>
          </cell>
          <cell r="T6">
            <v>1.000000293</v>
          </cell>
          <cell r="U6">
            <v>3.1999999999999999E-6</v>
          </cell>
          <cell r="V6">
            <v>3.1100000000000002E-4</v>
          </cell>
          <cell r="W6">
            <v>1.000008582</v>
          </cell>
          <cell r="X6">
            <v>2.7199999999999998E-6</v>
          </cell>
          <cell r="Y6">
            <v>1.0000054730000001</v>
          </cell>
          <cell r="Z6">
            <v>0</v>
          </cell>
          <cell r="AA6">
            <v>0</v>
          </cell>
          <cell r="AB6">
            <v>1</v>
          </cell>
          <cell r="AC6">
            <v>0</v>
          </cell>
          <cell r="AD6">
            <v>1</v>
          </cell>
          <cell r="AE6">
            <v>-53.086901339999997</v>
          </cell>
          <cell r="AF6">
            <v>-95.965932789999997</v>
          </cell>
          <cell r="AG6">
            <v>-54.969443949999999</v>
          </cell>
          <cell r="AH6">
            <v>-96.294810089999999</v>
          </cell>
          <cell r="AI6" t="str">
            <v>Medium</v>
          </cell>
          <cell r="AJ6" t="str">
            <v>Low</v>
          </cell>
          <cell r="AK6" t="str">
            <v>Medium</v>
          </cell>
          <cell r="AL6" t="str">
            <v>Low</v>
          </cell>
          <cell r="AM6" t="str">
            <v>Utilize_Low</v>
          </cell>
          <cell r="AN6" t="str">
            <v>Utilize_High</v>
          </cell>
          <cell r="AO6" t="str">
            <v>Utilize_Med</v>
          </cell>
          <cell r="AP6" t="str">
            <v>Utilize_High</v>
          </cell>
        </row>
        <row r="7">
          <cell r="A7" t="str">
            <v>FM0650-KG</v>
          </cell>
          <cell r="B7">
            <v>3.4067871411100001</v>
          </cell>
          <cell r="C7" t="str">
            <v>South</v>
          </cell>
          <cell r="D7">
            <v>3.4067878415599999</v>
          </cell>
          <cell r="E7" t="str">
            <v>FM0650-KG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</v>
          </cell>
          <cell r="N7">
            <v>0</v>
          </cell>
          <cell r="O7">
            <v>1</v>
          </cell>
          <cell r="P7">
            <v>0</v>
          </cell>
          <cell r="Q7">
            <v>0</v>
          </cell>
          <cell r="R7">
            <v>1</v>
          </cell>
          <cell r="S7">
            <v>0</v>
          </cell>
          <cell r="T7">
            <v>1</v>
          </cell>
          <cell r="U7">
            <v>0</v>
          </cell>
          <cell r="V7">
            <v>0</v>
          </cell>
          <cell r="W7">
            <v>1</v>
          </cell>
          <cell r="X7">
            <v>0</v>
          </cell>
          <cell r="Y7">
            <v>1</v>
          </cell>
          <cell r="Z7">
            <v>0</v>
          </cell>
          <cell r="AA7">
            <v>0</v>
          </cell>
          <cell r="AB7">
            <v>1</v>
          </cell>
          <cell r="AC7">
            <v>0</v>
          </cell>
          <cell r="AD7">
            <v>1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 t="str">
            <v>Medium</v>
          </cell>
          <cell r="AJ7" t="str">
            <v>Medium</v>
          </cell>
          <cell r="AK7" t="str">
            <v>Medium</v>
          </cell>
          <cell r="AL7" t="str">
            <v>Medium</v>
          </cell>
          <cell r="AM7" t="str">
            <v>No_Change</v>
          </cell>
          <cell r="AN7" t="str">
            <v>No_Change</v>
          </cell>
          <cell r="AO7" t="str">
            <v>No_Change</v>
          </cell>
          <cell r="AP7" t="str">
            <v>No_Change</v>
          </cell>
        </row>
        <row r="8">
          <cell r="A8" t="str">
            <v>FM0681-KG</v>
          </cell>
          <cell r="B8">
            <v>27.275757023800001</v>
          </cell>
          <cell r="C8" t="str">
            <v>South</v>
          </cell>
          <cell r="D8">
            <v>27.275762707799998</v>
          </cell>
          <cell r="E8" t="str">
            <v>FM0681-KG</v>
          </cell>
          <cell r="F8">
            <v>2904.784161</v>
          </cell>
          <cell r="G8">
            <v>71179.680956900003</v>
          </cell>
          <cell r="H8">
            <v>2314.4782089999999</v>
          </cell>
          <cell r="I8">
            <v>295.15297559999999</v>
          </cell>
          <cell r="J8">
            <v>2609.6311850000002</v>
          </cell>
          <cell r="K8">
            <v>1.5800000000000001E-5</v>
          </cell>
          <cell r="L8">
            <v>1.5363009999999999E-3</v>
          </cell>
          <cell r="M8">
            <v>1.0000424219999999</v>
          </cell>
          <cell r="N8">
            <v>1.6099999999999998E-5</v>
          </cell>
          <cell r="O8">
            <v>1.000027056</v>
          </cell>
          <cell r="P8">
            <v>1.35E-6</v>
          </cell>
          <cell r="Q8">
            <v>1.3100000000000001E-4</v>
          </cell>
          <cell r="R8">
            <v>1.00000362</v>
          </cell>
          <cell r="S8">
            <v>1.37E-6</v>
          </cell>
          <cell r="T8">
            <v>1.0000023090000001</v>
          </cell>
          <cell r="U8">
            <v>2.2900000000000001E-5</v>
          </cell>
          <cell r="V8">
            <v>2.2267340000000002E-3</v>
          </cell>
          <cell r="W8">
            <v>1.0000614880000001</v>
          </cell>
          <cell r="X8">
            <v>2.3300000000000001E-5</v>
          </cell>
          <cell r="Y8">
            <v>1.000039216</v>
          </cell>
          <cell r="Z8">
            <v>0</v>
          </cell>
          <cell r="AA8">
            <v>0</v>
          </cell>
          <cell r="AB8">
            <v>1</v>
          </cell>
          <cell r="AC8">
            <v>0</v>
          </cell>
          <cell r="AD8">
            <v>1</v>
          </cell>
          <cell r="AE8">
            <v>-273.78257630000002</v>
          </cell>
          <cell r="AF8">
            <v>-40.675199229999997</v>
          </cell>
          <cell r="AG8">
            <v>-274.03913460000001</v>
          </cell>
          <cell r="AH8">
            <v>-40.694672930000003</v>
          </cell>
          <cell r="AI8" t="str">
            <v>Medium</v>
          </cell>
          <cell r="AJ8" t="str">
            <v>Medium</v>
          </cell>
          <cell r="AK8" t="str">
            <v>Medium</v>
          </cell>
          <cell r="AL8" t="str">
            <v>Medium</v>
          </cell>
          <cell r="AM8" t="str">
            <v>Utilize_Med</v>
          </cell>
          <cell r="AN8" t="str">
            <v>Utilize_Med</v>
          </cell>
          <cell r="AO8" t="str">
            <v>Utilize_Med</v>
          </cell>
          <cell r="AP8" t="str">
            <v>Utilize_Med</v>
          </cell>
        </row>
        <row r="9">
          <cell r="A9" t="str">
            <v>FM0755-KG</v>
          </cell>
          <cell r="B9">
            <v>60.320465667299999</v>
          </cell>
          <cell r="C9" t="str">
            <v>South</v>
          </cell>
          <cell r="D9">
            <v>60.3204781759</v>
          </cell>
          <cell r="E9" t="str">
            <v>FM0755-KG</v>
          </cell>
          <cell r="F9">
            <v>3315.935853</v>
          </cell>
          <cell r="G9">
            <v>161939.072906999</v>
          </cell>
          <cell r="H9">
            <v>2053.354241</v>
          </cell>
          <cell r="I9">
            <v>631.29080639999995</v>
          </cell>
          <cell r="J9">
            <v>2684.645047</v>
          </cell>
          <cell r="K9">
            <v>6.3541800000000001E-4</v>
          </cell>
          <cell r="L9">
            <v>6.2020925999999997E-2</v>
          </cell>
          <cell r="M9">
            <v>1.001728258</v>
          </cell>
          <cell r="N9">
            <v>5.7191399999999997E-4</v>
          </cell>
          <cell r="O9">
            <v>1.001096575</v>
          </cell>
          <cell r="P9">
            <v>4.7516399999999998E-5</v>
          </cell>
          <cell r="Q9">
            <v>4.6154860000000002E-3</v>
          </cell>
          <cell r="R9">
            <v>1.0001275169999999</v>
          </cell>
          <cell r="S9">
            <v>4.3501999999999998E-5</v>
          </cell>
          <cell r="T9">
            <v>1.0000813040000001</v>
          </cell>
          <cell r="U9">
            <v>5.2868999999999995E-4</v>
          </cell>
          <cell r="V9">
            <v>5.1543538E-2</v>
          </cell>
          <cell r="W9">
            <v>1.001433338</v>
          </cell>
          <cell r="X9">
            <v>4.7779499999999999E-4</v>
          </cell>
          <cell r="Y9">
            <v>1.0009105170000001</v>
          </cell>
          <cell r="Z9">
            <v>7.7499999999999999E-8</v>
          </cell>
          <cell r="AA9">
            <v>7.5268700000000003E-6</v>
          </cell>
          <cell r="AB9">
            <v>1.0000002079999999</v>
          </cell>
          <cell r="AC9">
            <v>7.1099999999999995E-8</v>
          </cell>
          <cell r="AD9">
            <v>1.0000001329999999</v>
          </cell>
          <cell r="AE9">
            <v>-60.557409010000001</v>
          </cell>
          <cell r="AF9">
            <v>-240.6343297</v>
          </cell>
          <cell r="AG9">
            <v>-60.547604360000001</v>
          </cell>
          <cell r="AH9">
            <v>-241.25822049999999</v>
          </cell>
          <cell r="AI9" t="str">
            <v>Medium</v>
          </cell>
          <cell r="AJ9" t="str">
            <v>Low</v>
          </cell>
          <cell r="AK9" t="str">
            <v>Medium</v>
          </cell>
          <cell r="AL9" t="str">
            <v>Low</v>
          </cell>
          <cell r="AM9" t="str">
            <v>Utilize_Med</v>
          </cell>
          <cell r="AN9" t="str">
            <v>Utilize_High</v>
          </cell>
          <cell r="AO9" t="str">
            <v>Utilize_Med</v>
          </cell>
          <cell r="AP9" t="str">
            <v>Utilize_High</v>
          </cell>
        </row>
        <row r="10">
          <cell r="A10" t="str">
            <v>FM1015-KG</v>
          </cell>
          <cell r="B10">
            <v>20.004861967899998</v>
          </cell>
          <cell r="C10" t="str">
            <v>South</v>
          </cell>
          <cell r="D10">
            <v>20.0048661728</v>
          </cell>
          <cell r="E10" t="str">
            <v>FM1015-KG</v>
          </cell>
          <cell r="F10">
            <v>3436.9932469999999</v>
          </cell>
          <cell r="G10">
            <v>67329.952094199907</v>
          </cell>
          <cell r="H10">
            <v>3294.364165</v>
          </cell>
          <cell r="I10">
            <v>71.314540980000004</v>
          </cell>
          <cell r="J10">
            <v>3365.6787060000001</v>
          </cell>
          <cell r="K10">
            <v>1.4022939999999999E-3</v>
          </cell>
          <cell r="L10">
            <v>0.13669203599999999</v>
          </cell>
          <cell r="M10">
            <v>1.003800088</v>
          </cell>
          <cell r="N10">
            <v>1.143675E-3</v>
          </cell>
          <cell r="O10">
            <v>1.002414371</v>
          </cell>
          <cell r="P10">
            <v>2.4199999999999999E-5</v>
          </cell>
          <cell r="Q10">
            <v>2.3477229999999999E-3</v>
          </cell>
          <cell r="R10">
            <v>1.0000648299999999</v>
          </cell>
          <cell r="S10">
            <v>2.02E-5</v>
          </cell>
          <cell r="T10">
            <v>1.000041347</v>
          </cell>
          <cell r="U10">
            <v>1.527467E-3</v>
          </cell>
          <cell r="V10">
            <v>0.14897534100000001</v>
          </cell>
          <cell r="W10">
            <v>1.0041456010000001</v>
          </cell>
          <cell r="X10">
            <v>1.2180839999999999E-3</v>
          </cell>
          <cell r="Y10">
            <v>1.0026324339999999</v>
          </cell>
          <cell r="Z10">
            <v>0</v>
          </cell>
          <cell r="AA10">
            <v>0</v>
          </cell>
          <cell r="AB10">
            <v>1</v>
          </cell>
          <cell r="AC10">
            <v>0</v>
          </cell>
          <cell r="AD10">
            <v>1</v>
          </cell>
          <cell r="AE10">
            <v>-1046.7709379999999</v>
          </cell>
          <cell r="AF10">
            <v>-25.79215714</v>
          </cell>
          <cell r="AG10">
            <v>-1046.850696</v>
          </cell>
          <cell r="AH10">
            <v>-25.80340953</v>
          </cell>
          <cell r="AI10" t="str">
            <v>Low</v>
          </cell>
          <cell r="AJ10" t="str">
            <v>Medium</v>
          </cell>
          <cell r="AK10" t="str">
            <v>Low</v>
          </cell>
          <cell r="AL10" t="str">
            <v>Medium</v>
          </cell>
          <cell r="AM10" t="str">
            <v>Utilize_High</v>
          </cell>
          <cell r="AN10" t="str">
            <v>Utilize_Med</v>
          </cell>
          <cell r="AO10" t="str">
            <v>Utilize_High</v>
          </cell>
          <cell r="AP10" t="str">
            <v>Utilize_Med</v>
          </cell>
        </row>
        <row r="11">
          <cell r="A11" t="str">
            <v>FM1017-KG</v>
          </cell>
          <cell r="B11">
            <v>76.142924098199998</v>
          </cell>
          <cell r="C11" t="str">
            <v>South</v>
          </cell>
          <cell r="D11">
            <v>76.142939828699994</v>
          </cell>
          <cell r="E11" t="str">
            <v>FM1017-KG</v>
          </cell>
          <cell r="F11">
            <v>654.18028030000005</v>
          </cell>
          <cell r="G11">
            <v>38354.146055600002</v>
          </cell>
          <cell r="H11">
            <v>353.24460069999998</v>
          </cell>
          <cell r="I11">
            <v>150.46783970000001</v>
          </cell>
          <cell r="J11">
            <v>503.71244030000003</v>
          </cell>
          <cell r="K11">
            <v>6.5899999999999998E-9</v>
          </cell>
          <cell r="L11">
            <v>6.4000000000000001E-7</v>
          </cell>
          <cell r="M11">
            <v>1.0000000179999999</v>
          </cell>
          <cell r="N11">
            <v>5.93E-9</v>
          </cell>
          <cell r="O11">
            <v>1.000000011</v>
          </cell>
          <cell r="P11">
            <v>6.5899999999999998E-9</v>
          </cell>
          <cell r="Q11">
            <v>6.4000000000000001E-7</v>
          </cell>
          <cell r="R11">
            <v>1.0000000179999999</v>
          </cell>
          <cell r="S11">
            <v>5.93E-9</v>
          </cell>
          <cell r="T11">
            <v>1.000000011</v>
          </cell>
          <cell r="U11">
            <v>6.5899999999999998E-9</v>
          </cell>
          <cell r="V11">
            <v>6.4000000000000001E-7</v>
          </cell>
          <cell r="W11">
            <v>1.0000000179999999</v>
          </cell>
          <cell r="X11">
            <v>5.93E-9</v>
          </cell>
          <cell r="Y11">
            <v>1.000000011</v>
          </cell>
          <cell r="Z11">
            <v>6.5899999999999998E-9</v>
          </cell>
          <cell r="AA11">
            <v>6.4000000000000001E-7</v>
          </cell>
          <cell r="AB11">
            <v>1.0000000179999999</v>
          </cell>
          <cell r="AC11">
            <v>5.93E-9</v>
          </cell>
          <cell r="AD11">
            <v>1.000000011</v>
          </cell>
          <cell r="AE11">
            <v>-34.91105949</v>
          </cell>
          <cell r="AF11">
            <v>-12.26961339</v>
          </cell>
          <cell r="AG11">
            <v>-34.844193740000001</v>
          </cell>
          <cell r="AH11">
            <v>-12.252932680000001</v>
          </cell>
          <cell r="AI11" t="str">
            <v>Medium</v>
          </cell>
          <cell r="AJ11" t="str">
            <v>Medium</v>
          </cell>
          <cell r="AK11" t="str">
            <v>Medium</v>
          </cell>
          <cell r="AL11" t="str">
            <v>Medium</v>
          </cell>
          <cell r="AM11" t="str">
            <v>Utilize_Low</v>
          </cell>
          <cell r="AN11" t="str">
            <v>Utilize_Med</v>
          </cell>
          <cell r="AO11" t="str">
            <v>Utilize_Low</v>
          </cell>
          <cell r="AP11" t="str">
            <v>Utilize_Med</v>
          </cell>
        </row>
        <row r="12">
          <cell r="A12" t="str">
            <v>FM1021-KG</v>
          </cell>
          <cell r="B12">
            <v>41.656805026699999</v>
          </cell>
          <cell r="C12" t="str">
            <v>Central</v>
          </cell>
          <cell r="D12">
            <v>41.656813173700002</v>
          </cell>
          <cell r="E12" t="str">
            <v>FM1021-KG</v>
          </cell>
          <cell r="F12">
            <v>4138.1944590000003</v>
          </cell>
          <cell r="G12">
            <v>167030.99352700001</v>
          </cell>
          <cell r="H12">
            <v>3881.1896860000002</v>
          </cell>
          <cell r="I12">
            <v>128.50238669999999</v>
          </cell>
          <cell r="J12">
            <v>4009.6920719999998</v>
          </cell>
          <cell r="K12">
            <v>5.1023969999999998E-3</v>
          </cell>
          <cell r="L12">
            <v>0.50183540000000004</v>
          </cell>
          <cell r="M12">
            <v>1.0141743059999999</v>
          </cell>
          <cell r="N12">
            <v>4.3898319999999998E-3</v>
          </cell>
          <cell r="O12">
            <v>1.0089246569999999</v>
          </cell>
          <cell r="P12">
            <v>1.37E-4</v>
          </cell>
          <cell r="Q12">
            <v>1.3308014E-2</v>
          </cell>
          <cell r="R12">
            <v>1.000367666</v>
          </cell>
          <cell r="S12">
            <v>1.2300000000000001E-4</v>
          </cell>
          <cell r="T12">
            <v>1.0002344249999999</v>
          </cell>
          <cell r="U12">
            <v>3.1166639999999999E-3</v>
          </cell>
          <cell r="V12">
            <v>0.30500416299999999</v>
          </cell>
          <cell r="W12">
            <v>1.0085385950000001</v>
          </cell>
          <cell r="X12">
            <v>2.728884E-3</v>
          </cell>
          <cell r="Y12">
            <v>1.00540348</v>
          </cell>
          <cell r="Z12">
            <v>2.6199999999999999E-7</v>
          </cell>
          <cell r="AA12">
            <v>2.5400000000000001E-5</v>
          </cell>
          <cell r="AB12">
            <v>1.0000007019999999</v>
          </cell>
          <cell r="AC12">
            <v>2.36E-7</v>
          </cell>
          <cell r="AD12">
            <v>1.0000004469999999</v>
          </cell>
          <cell r="AE12">
            <v>-41.691763989999998</v>
          </cell>
          <cell r="AF12">
            <v>1.738742453</v>
          </cell>
          <cell r="AG12">
            <v>-41.694086939999998</v>
          </cell>
          <cell r="AH12">
            <v>1.738525903</v>
          </cell>
          <cell r="AI12" t="str">
            <v>Medium</v>
          </cell>
          <cell r="AJ12" t="str">
            <v>Medium</v>
          </cell>
          <cell r="AK12" t="str">
            <v>Medium</v>
          </cell>
          <cell r="AL12" t="str">
            <v>Medium</v>
          </cell>
          <cell r="AM12" t="str">
            <v>Utilize_Low</v>
          </cell>
          <cell r="AN12" t="str">
            <v>Avoid_Low</v>
          </cell>
          <cell r="AO12" t="str">
            <v>Utilize_Low</v>
          </cell>
          <cell r="AP12" t="str">
            <v>Avoid_Low</v>
          </cell>
        </row>
        <row r="13">
          <cell r="A13" t="str">
            <v>FM1023-KG</v>
          </cell>
          <cell r="B13">
            <v>18.352812943499998</v>
          </cell>
          <cell r="C13" t="str">
            <v>Central</v>
          </cell>
          <cell r="D13">
            <v>18.3528165098</v>
          </cell>
          <cell r="E13" t="str">
            <v>FM1023-KG</v>
          </cell>
          <cell r="F13">
            <v>953.83029339999996</v>
          </cell>
          <cell r="G13">
            <v>16959.61709</v>
          </cell>
          <cell r="H13">
            <v>894.34566210000003</v>
          </cell>
          <cell r="I13">
            <v>29.74231589</v>
          </cell>
          <cell r="J13">
            <v>924.08797749999997</v>
          </cell>
          <cell r="K13">
            <v>0</v>
          </cell>
          <cell r="L13">
            <v>0</v>
          </cell>
          <cell r="M13">
            <v>1</v>
          </cell>
          <cell r="N13">
            <v>0</v>
          </cell>
          <cell r="O13">
            <v>1</v>
          </cell>
          <cell r="P13">
            <v>0</v>
          </cell>
          <cell r="Q13">
            <v>0</v>
          </cell>
          <cell r="R13">
            <v>1</v>
          </cell>
          <cell r="S13">
            <v>0</v>
          </cell>
          <cell r="T13">
            <v>1</v>
          </cell>
          <cell r="U13">
            <v>0</v>
          </cell>
          <cell r="V13">
            <v>0</v>
          </cell>
          <cell r="W13">
            <v>1</v>
          </cell>
          <cell r="X13">
            <v>0</v>
          </cell>
          <cell r="Y13">
            <v>1</v>
          </cell>
          <cell r="Z13">
            <v>0</v>
          </cell>
          <cell r="AA13">
            <v>0</v>
          </cell>
          <cell r="AB13">
            <v>1</v>
          </cell>
          <cell r="AC13">
            <v>0</v>
          </cell>
          <cell r="AD13">
            <v>1</v>
          </cell>
          <cell r="AE13">
            <v>-5.6350450580000002</v>
          </cell>
          <cell r="AF13">
            <v>9.7697175600000001</v>
          </cell>
          <cell r="AG13">
            <v>-5.635079223</v>
          </cell>
          <cell r="AH13">
            <v>9.7694654710000002</v>
          </cell>
          <cell r="AI13" t="str">
            <v>Medium</v>
          </cell>
          <cell r="AJ13" t="str">
            <v>Medium</v>
          </cell>
          <cell r="AK13" t="str">
            <v>Medium</v>
          </cell>
          <cell r="AL13" t="str">
            <v>Medium</v>
          </cell>
          <cell r="AM13" t="str">
            <v>Utilize_Low</v>
          </cell>
          <cell r="AN13" t="str">
            <v>Avoid_Med</v>
          </cell>
          <cell r="AO13" t="str">
            <v>Utilize_Low</v>
          </cell>
          <cell r="AP13" t="str">
            <v>Avoid_Med</v>
          </cell>
        </row>
        <row r="14">
          <cell r="A14" t="str">
            <v>FM1472-KG</v>
          </cell>
          <cell r="B14">
            <v>44.268066668400003</v>
          </cell>
          <cell r="C14" t="str">
            <v>South</v>
          </cell>
          <cell r="D14">
            <v>44.268075442399997</v>
          </cell>
          <cell r="E14" t="str">
            <v>FM1472-KG</v>
          </cell>
          <cell r="F14">
            <v>225.2309818</v>
          </cell>
          <cell r="G14">
            <v>9008.1680387699998</v>
          </cell>
          <cell r="H14">
            <v>181.7516095</v>
          </cell>
          <cell r="I14">
            <v>21.739686580000001</v>
          </cell>
          <cell r="J14">
            <v>203.4912961</v>
          </cell>
          <cell r="K14">
            <v>1.35E-8</v>
          </cell>
          <cell r="L14">
            <v>1.31E-6</v>
          </cell>
          <cell r="M14">
            <v>1.0000000360000001</v>
          </cell>
          <cell r="N14">
            <v>1.2100000000000001E-8</v>
          </cell>
          <cell r="O14">
            <v>1.0000000229999999</v>
          </cell>
          <cell r="P14">
            <v>1.35E-8</v>
          </cell>
          <cell r="Q14">
            <v>1.31E-6</v>
          </cell>
          <cell r="R14">
            <v>1.0000000360000001</v>
          </cell>
          <cell r="S14">
            <v>1.2100000000000001E-8</v>
          </cell>
          <cell r="T14">
            <v>1.0000000229999999</v>
          </cell>
          <cell r="U14">
            <v>1.35E-8</v>
          </cell>
          <cell r="V14">
            <v>1.31E-6</v>
          </cell>
          <cell r="W14">
            <v>1.0000000360000001</v>
          </cell>
          <cell r="X14">
            <v>1.2100000000000001E-8</v>
          </cell>
          <cell r="Y14">
            <v>1.0000000229999999</v>
          </cell>
          <cell r="Z14">
            <v>1.35E-8</v>
          </cell>
          <cell r="AA14">
            <v>1.31E-6</v>
          </cell>
          <cell r="AB14">
            <v>1.0000000360000001</v>
          </cell>
          <cell r="AC14">
            <v>1.2100000000000001E-8</v>
          </cell>
          <cell r="AD14">
            <v>1.0000000229999999</v>
          </cell>
          <cell r="AE14">
            <v>-11.705476300000001</v>
          </cell>
          <cell r="AF14">
            <v>-7.1033557189999996</v>
          </cell>
          <cell r="AG14">
            <v>-11.705476300000001</v>
          </cell>
          <cell r="AH14">
            <v>-7.1033557189999996</v>
          </cell>
          <cell r="AI14" t="str">
            <v>Medium</v>
          </cell>
          <cell r="AJ14" t="str">
            <v>Medium</v>
          </cell>
          <cell r="AK14" t="str">
            <v>Medium</v>
          </cell>
          <cell r="AL14" t="str">
            <v>Medium</v>
          </cell>
          <cell r="AM14" t="str">
            <v>Utilize_Low</v>
          </cell>
          <cell r="AN14" t="str">
            <v>Utilize_Med</v>
          </cell>
          <cell r="AO14" t="str">
            <v>Utilize_Low</v>
          </cell>
          <cell r="AP14" t="str">
            <v>Utilize_Med</v>
          </cell>
        </row>
        <row r="15">
          <cell r="A15" t="str">
            <v>FM2369-KG</v>
          </cell>
          <cell r="B15">
            <v>4.2164203195200001</v>
          </cell>
          <cell r="C15" t="str">
            <v>Central</v>
          </cell>
          <cell r="D15">
            <v>4.2164211466000001</v>
          </cell>
          <cell r="E15" t="str">
            <v>FM2369-KG</v>
          </cell>
          <cell r="F15">
            <v>968.13938470000005</v>
          </cell>
          <cell r="G15">
            <v>3777.73793032</v>
          </cell>
          <cell r="H15">
            <v>823.77740840000001</v>
          </cell>
          <cell r="I15">
            <v>72.180988159999998</v>
          </cell>
          <cell r="J15">
            <v>895.95839650000005</v>
          </cell>
          <cell r="K15">
            <v>4.50951E-4</v>
          </cell>
          <cell r="L15">
            <v>4.3839146000000002E-2</v>
          </cell>
          <cell r="M15">
            <v>1.0012129540000001</v>
          </cell>
          <cell r="N15">
            <v>3.9668599999999999E-4</v>
          </cell>
          <cell r="O15">
            <v>1.0007727340000001</v>
          </cell>
          <cell r="P15">
            <v>0</v>
          </cell>
          <cell r="Q15">
            <v>0</v>
          </cell>
          <cell r="R15">
            <v>1</v>
          </cell>
          <cell r="S15">
            <v>0</v>
          </cell>
          <cell r="T15">
            <v>1</v>
          </cell>
          <cell r="U15">
            <v>9.8720199999999996E-4</v>
          </cell>
          <cell r="V15">
            <v>9.6105752000000003E-2</v>
          </cell>
          <cell r="W15">
            <v>1.002665685</v>
          </cell>
          <cell r="X15">
            <v>8.6399999999999997E-4</v>
          </cell>
          <cell r="Y15">
            <v>1.0016958300000001</v>
          </cell>
          <cell r="Z15">
            <v>0</v>
          </cell>
          <cell r="AA15">
            <v>0</v>
          </cell>
          <cell r="AB15">
            <v>1</v>
          </cell>
          <cell r="AC15">
            <v>0</v>
          </cell>
          <cell r="AD15">
            <v>1</v>
          </cell>
          <cell r="AE15">
            <v>-407.10135339999999</v>
          </cell>
          <cell r="AF15">
            <v>5.5478356590000004</v>
          </cell>
          <cell r="AG15">
            <v>-407.0860194</v>
          </cell>
          <cell r="AH15">
            <v>5.5538936589999999</v>
          </cell>
          <cell r="AI15" t="str">
            <v>Medium</v>
          </cell>
          <cell r="AJ15" t="str">
            <v>Medium</v>
          </cell>
          <cell r="AK15" t="str">
            <v>Medium</v>
          </cell>
          <cell r="AL15" t="str">
            <v>Medium</v>
          </cell>
          <cell r="AM15" t="str">
            <v>Utilize_Med</v>
          </cell>
          <cell r="AN15" t="str">
            <v>Avoid_Med</v>
          </cell>
          <cell r="AO15" t="str">
            <v>Utilize_Med</v>
          </cell>
          <cell r="AP15" t="str">
            <v>Avoid_Med</v>
          </cell>
        </row>
        <row r="16">
          <cell r="A16" t="str">
            <v>FM2644-KG</v>
          </cell>
          <cell r="B16">
            <v>26.949391069800001</v>
          </cell>
          <cell r="C16" t="str">
            <v>Central</v>
          </cell>
          <cell r="D16">
            <v>26.949396434099999</v>
          </cell>
          <cell r="E16" t="str">
            <v>FM2644-KG</v>
          </cell>
          <cell r="F16">
            <v>2084.9390279999998</v>
          </cell>
          <cell r="G16">
            <v>46818.933680000002</v>
          </cell>
          <cell r="H16">
            <v>1389.6422150000001</v>
          </cell>
          <cell r="I16">
            <v>347.64840679999998</v>
          </cell>
          <cell r="J16">
            <v>1737.290622</v>
          </cell>
          <cell r="K16">
            <v>5.4499999999999998E-8</v>
          </cell>
          <cell r="L16">
            <v>5.3000000000000001E-6</v>
          </cell>
          <cell r="M16">
            <v>1.0000001460000001</v>
          </cell>
          <cell r="N16">
            <v>4.9100000000000003E-8</v>
          </cell>
          <cell r="O16">
            <v>1.0000000929999999</v>
          </cell>
          <cell r="P16">
            <v>2.03E-8</v>
          </cell>
          <cell r="Q16">
            <v>1.9700000000000002E-6</v>
          </cell>
          <cell r="R16">
            <v>1.0000000550000001</v>
          </cell>
          <cell r="S16">
            <v>1.8299999999999998E-8</v>
          </cell>
          <cell r="T16">
            <v>1.000000035</v>
          </cell>
          <cell r="U16">
            <v>5.4499999999999998E-8</v>
          </cell>
          <cell r="V16">
            <v>5.3000000000000001E-6</v>
          </cell>
          <cell r="W16">
            <v>1.0000001460000001</v>
          </cell>
          <cell r="X16">
            <v>4.9100000000000003E-8</v>
          </cell>
          <cell r="Y16">
            <v>1.0000000929999999</v>
          </cell>
          <cell r="Z16">
            <v>2.03E-8</v>
          </cell>
          <cell r="AA16">
            <v>1.9700000000000002E-6</v>
          </cell>
          <cell r="AB16">
            <v>1.0000000550000001</v>
          </cell>
          <cell r="AC16">
            <v>1.8299999999999998E-8</v>
          </cell>
          <cell r="AD16">
            <v>1.000000035</v>
          </cell>
          <cell r="AE16">
            <v>-19.981090139999999</v>
          </cell>
          <cell r="AF16">
            <v>65.543750689999996</v>
          </cell>
          <cell r="AG16">
            <v>-19.92360304</v>
          </cell>
          <cell r="AH16">
            <v>65.549107699999993</v>
          </cell>
          <cell r="AI16" t="str">
            <v>Medium</v>
          </cell>
          <cell r="AJ16" t="str">
            <v>High</v>
          </cell>
          <cell r="AK16" t="str">
            <v>Medium</v>
          </cell>
          <cell r="AL16" t="str">
            <v>High</v>
          </cell>
          <cell r="AM16" t="str">
            <v>Utilize_Low</v>
          </cell>
          <cell r="AN16" t="str">
            <v>Avoid_High</v>
          </cell>
          <cell r="AO16" t="str">
            <v>Utilize_Low</v>
          </cell>
          <cell r="AP16" t="str">
            <v>Avoid_High</v>
          </cell>
        </row>
        <row r="17">
          <cell r="A17" t="str">
            <v>FM3380-KG</v>
          </cell>
          <cell r="B17">
            <v>4.1639821022800003</v>
          </cell>
          <cell r="C17" t="str">
            <v>West</v>
          </cell>
          <cell r="D17">
            <v>4.1639827896900004</v>
          </cell>
          <cell r="E17" t="str">
            <v>FM3380-KG</v>
          </cell>
          <cell r="F17">
            <v>9056.3971500000007</v>
          </cell>
          <cell r="G17">
            <v>23838.0623849</v>
          </cell>
          <cell r="H17">
            <v>2393.2478599999999</v>
          </cell>
          <cell r="I17">
            <v>3331.5746450000001</v>
          </cell>
          <cell r="J17">
            <v>5724.8225050000001</v>
          </cell>
          <cell r="K17">
            <v>1.6199999999999999E-3</v>
          </cell>
          <cell r="L17">
            <v>0.15758269699999999</v>
          </cell>
          <cell r="M17">
            <v>1.0043854510000001</v>
          </cell>
          <cell r="N17">
            <v>1.2199999999999999E-3</v>
          </cell>
          <cell r="O17">
            <v>1.002784619</v>
          </cell>
          <cell r="P17">
            <v>1.74E-4</v>
          </cell>
          <cell r="Q17">
            <v>1.6866717E-2</v>
          </cell>
          <cell r="R17">
            <v>1.0004660750000001</v>
          </cell>
          <cell r="S17">
            <v>1.3200000000000001E-4</v>
          </cell>
          <cell r="T17">
            <v>1.0002971380000001</v>
          </cell>
          <cell r="U17">
            <v>2.0100000000000001E-3</v>
          </cell>
          <cell r="V17">
            <v>0.19670030899999999</v>
          </cell>
          <cell r="W17">
            <v>1.0054823740000001</v>
          </cell>
          <cell r="X17">
            <v>1.5100000000000001E-3</v>
          </cell>
          <cell r="Y17">
            <v>1.0034781319999999</v>
          </cell>
          <cell r="Z17">
            <v>2.9499999999999998E-7</v>
          </cell>
          <cell r="AA17">
            <v>2.87E-5</v>
          </cell>
          <cell r="AB17">
            <v>1.000000792</v>
          </cell>
          <cell r="AC17">
            <v>2.22E-7</v>
          </cell>
          <cell r="AD17">
            <v>1.000000505</v>
          </cell>
          <cell r="AE17">
            <v>-326.3988243</v>
          </cell>
          <cell r="AF17">
            <v>-3296.853944</v>
          </cell>
          <cell r="AG17">
            <v>-326.3988243</v>
          </cell>
          <cell r="AH17">
            <v>-3296.853944</v>
          </cell>
          <cell r="AI17" t="str">
            <v>Medium</v>
          </cell>
          <cell r="AJ17" t="str">
            <v>Low</v>
          </cell>
          <cell r="AK17" t="str">
            <v>Medium</v>
          </cell>
          <cell r="AL17" t="str">
            <v>Low</v>
          </cell>
          <cell r="AM17" t="str">
            <v>Utilize_Med</v>
          </cell>
          <cell r="AN17" t="str">
            <v>Utilize_High</v>
          </cell>
          <cell r="AO17" t="str">
            <v>Utilize_Med</v>
          </cell>
          <cell r="AP17" t="str">
            <v>Utilize_High</v>
          </cell>
        </row>
        <row r="18">
          <cell r="A18" t="str">
            <v>RM1111-KG</v>
          </cell>
          <cell r="B18">
            <v>42.291837041199997</v>
          </cell>
          <cell r="C18" t="str">
            <v>West</v>
          </cell>
          <cell r="D18">
            <v>42.291844163299999</v>
          </cell>
          <cell r="E18" t="str">
            <v>RM1111-KG</v>
          </cell>
          <cell r="F18">
            <v>154.28392550000001</v>
          </cell>
          <cell r="G18">
            <v>5492.54223912</v>
          </cell>
          <cell r="H18">
            <v>105.4608235</v>
          </cell>
          <cell r="I18">
            <v>24.41155062</v>
          </cell>
          <cell r="J18">
            <v>129.87237490000001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1</v>
          </cell>
          <cell r="P18">
            <v>0</v>
          </cell>
          <cell r="Q18">
            <v>0</v>
          </cell>
          <cell r="R18">
            <v>1</v>
          </cell>
          <cell r="S18">
            <v>0</v>
          </cell>
          <cell r="T18">
            <v>1</v>
          </cell>
          <cell r="U18">
            <v>0</v>
          </cell>
          <cell r="V18">
            <v>0</v>
          </cell>
          <cell r="W18">
            <v>1</v>
          </cell>
          <cell r="X18">
            <v>0</v>
          </cell>
          <cell r="Y18">
            <v>1</v>
          </cell>
          <cell r="Z18">
            <v>0</v>
          </cell>
          <cell r="AA18">
            <v>0</v>
          </cell>
          <cell r="AB18">
            <v>1</v>
          </cell>
          <cell r="AC18">
            <v>0</v>
          </cell>
          <cell r="AD18">
            <v>1</v>
          </cell>
          <cell r="AE18">
            <v>-77.234946840000006</v>
          </cell>
          <cell r="AF18">
            <v>-11.471838099999999</v>
          </cell>
          <cell r="AG18">
            <v>-77.234946840000006</v>
          </cell>
          <cell r="AH18">
            <v>-11.471838099999999</v>
          </cell>
          <cell r="AI18" t="str">
            <v>Medium</v>
          </cell>
          <cell r="AJ18" t="str">
            <v>Medium</v>
          </cell>
          <cell r="AK18" t="str">
            <v>Medium</v>
          </cell>
          <cell r="AL18" t="str">
            <v>Medium</v>
          </cell>
          <cell r="AM18" t="str">
            <v>Utilize_Med</v>
          </cell>
          <cell r="AN18" t="str">
            <v>Utilize_Med</v>
          </cell>
          <cell r="AO18" t="str">
            <v>Utilize_Med</v>
          </cell>
          <cell r="AP18" t="str">
            <v>Utilize_Med</v>
          </cell>
        </row>
        <row r="19">
          <cell r="A19" t="str">
            <v>SH0016-1</v>
          </cell>
          <cell r="B19">
            <v>182.860403916</v>
          </cell>
          <cell r="C19" t="str">
            <v>South</v>
          </cell>
          <cell r="D19">
            <v>182.86044092500001</v>
          </cell>
          <cell r="E19" t="str">
            <v>SH0016-1</v>
          </cell>
          <cell r="F19">
            <v>4326.8658089999999</v>
          </cell>
          <cell r="G19">
            <v>581440.83126899903</v>
          </cell>
          <cell r="H19">
            <v>2032.5285839999999</v>
          </cell>
          <cell r="I19">
            <v>1147.1686130000001</v>
          </cell>
          <cell r="J19">
            <v>3179.697197</v>
          </cell>
          <cell r="K19">
            <v>2.1900000000000001E-4</v>
          </cell>
          <cell r="L19">
            <v>2.1394025000000001E-2</v>
          </cell>
          <cell r="M19">
            <v>1.00059662</v>
          </cell>
          <cell r="N19">
            <v>1.9100000000000001E-4</v>
          </cell>
          <cell r="O19">
            <v>1.000378386</v>
          </cell>
          <cell r="P19">
            <v>7.9200000000000004E-6</v>
          </cell>
          <cell r="Q19">
            <v>7.6900000000000004E-4</v>
          </cell>
          <cell r="R19">
            <v>1.000021244</v>
          </cell>
          <cell r="S19">
            <v>6.8600000000000004E-6</v>
          </cell>
          <cell r="T19">
            <v>1.0000135480000001</v>
          </cell>
          <cell r="U19">
            <v>1.83E-4</v>
          </cell>
          <cell r="V19">
            <v>1.7809874999999999E-2</v>
          </cell>
          <cell r="W19">
            <v>1.000495929</v>
          </cell>
          <cell r="X19">
            <v>1.5899999999999999E-4</v>
          </cell>
          <cell r="Y19">
            <v>1.000314793</v>
          </cell>
          <cell r="Z19">
            <v>1.2499999999999999E-8</v>
          </cell>
          <cell r="AA19">
            <v>1.2100000000000001E-6</v>
          </cell>
          <cell r="AB19">
            <v>1.0000000339999999</v>
          </cell>
          <cell r="AC19">
            <v>1.0999999999999999E-8</v>
          </cell>
          <cell r="AD19">
            <v>1.000000021</v>
          </cell>
          <cell r="AE19">
            <v>-79.223784679999994</v>
          </cell>
          <cell r="AF19">
            <v>-183.5142251</v>
          </cell>
          <cell r="AG19">
            <v>-80.012007060000002</v>
          </cell>
          <cell r="AH19">
            <v>-184.44406770000001</v>
          </cell>
          <cell r="AI19" t="str">
            <v>Medium</v>
          </cell>
          <cell r="AJ19" t="str">
            <v>Low</v>
          </cell>
          <cell r="AK19" t="str">
            <v>Medium</v>
          </cell>
          <cell r="AL19" t="str">
            <v>Low</v>
          </cell>
          <cell r="AM19" t="str">
            <v>Utilize_Med</v>
          </cell>
          <cell r="AN19" t="str">
            <v>Utilize_High</v>
          </cell>
          <cell r="AO19" t="str">
            <v>Utilize_Med</v>
          </cell>
          <cell r="AP19" t="str">
            <v>Utilize_High</v>
          </cell>
        </row>
        <row r="20">
          <cell r="A20" t="str">
            <v>SH0016-2</v>
          </cell>
          <cell r="B20">
            <v>20.2626475462</v>
          </cell>
          <cell r="C20" t="str">
            <v>Central</v>
          </cell>
          <cell r="D20">
            <v>20.2626514924</v>
          </cell>
          <cell r="E20" t="str">
            <v>SH0016-2</v>
          </cell>
          <cell r="F20">
            <v>9819.7600889999994</v>
          </cell>
          <cell r="G20">
            <v>185232.06930800001</v>
          </cell>
          <cell r="H20">
            <v>8463.3426299999992</v>
          </cell>
          <cell r="I20">
            <v>678.20872989999998</v>
          </cell>
          <cell r="J20">
            <v>9141.5513599999995</v>
          </cell>
          <cell r="K20">
            <v>2.5269178999999999E-2</v>
          </cell>
          <cell r="L20">
            <v>4.074011305</v>
          </cell>
          <cell r="M20">
            <v>1.3260867789999999</v>
          </cell>
          <cell r="N20">
            <v>5.372796E-3</v>
          </cell>
          <cell r="O20">
            <v>1.1108408249999999</v>
          </cell>
          <cell r="P20">
            <v>2.26E-5</v>
          </cell>
          <cell r="Q20">
            <v>2.1927959999999999E-3</v>
          </cell>
          <cell r="R20">
            <v>1.000060551</v>
          </cell>
          <cell r="S20">
            <v>2.3799999999999999E-5</v>
          </cell>
          <cell r="T20">
            <v>1.0000386189999999</v>
          </cell>
          <cell r="U20">
            <v>3.2102424999999997E-2</v>
          </cell>
          <cell r="V20">
            <v>5.9181475749999999</v>
          </cell>
          <cell r="W20">
            <v>1.658094035</v>
          </cell>
          <cell r="X20">
            <v>5.0196729999999997E-3</v>
          </cell>
          <cell r="Y20">
            <v>1.1833727140000001</v>
          </cell>
          <cell r="Z20">
            <v>4.8699999999999999E-8</v>
          </cell>
          <cell r="AA20">
            <v>4.7299999999999996E-6</v>
          </cell>
          <cell r="AB20">
            <v>1.000000131</v>
          </cell>
          <cell r="AC20">
            <v>5.4200000000000002E-8</v>
          </cell>
          <cell r="AD20">
            <v>1.000000083</v>
          </cell>
          <cell r="AE20">
            <v>-2181.6368440000001</v>
          </cell>
          <cell r="AF20">
            <v>-250.35956139999999</v>
          </cell>
          <cell r="AG20">
            <v>-2234.7953849999999</v>
          </cell>
          <cell r="AH20">
            <v>-255.13295059999999</v>
          </cell>
          <cell r="AI20" t="str">
            <v>Low</v>
          </cell>
          <cell r="AJ20" t="str">
            <v>Low</v>
          </cell>
          <cell r="AK20" t="str">
            <v>Low</v>
          </cell>
          <cell r="AL20" t="str">
            <v>Low</v>
          </cell>
          <cell r="AM20" t="str">
            <v>Utilize_High</v>
          </cell>
          <cell r="AN20" t="str">
            <v>Utilize_High</v>
          </cell>
          <cell r="AO20" t="str">
            <v>Utilize_High</v>
          </cell>
          <cell r="AP20" t="str">
            <v>Utilize_High</v>
          </cell>
        </row>
        <row r="21">
          <cell r="A21" t="str">
            <v>SH0017-KG</v>
          </cell>
          <cell r="B21">
            <v>90.816483914100004</v>
          </cell>
          <cell r="C21" t="str">
            <v>West</v>
          </cell>
          <cell r="D21">
            <v>90.816499911299999</v>
          </cell>
          <cell r="E21" t="str">
            <v>SH0017-KG</v>
          </cell>
          <cell r="F21">
            <v>1439.4628680000001</v>
          </cell>
          <cell r="G21">
            <v>112532.653301</v>
          </cell>
          <cell r="H21">
            <v>1038.779597</v>
          </cell>
          <cell r="I21">
            <v>200.34163570000001</v>
          </cell>
          <cell r="J21">
            <v>1239.121232</v>
          </cell>
          <cell r="K21">
            <v>4.6199999999999998E-7</v>
          </cell>
          <cell r="L21">
            <v>4.4799999999999998E-5</v>
          </cell>
          <cell r="M21">
            <v>1.0000012380000001</v>
          </cell>
          <cell r="N21">
            <v>4.2300000000000002E-7</v>
          </cell>
          <cell r="O21">
            <v>1.0000007900000001</v>
          </cell>
          <cell r="P21">
            <v>1.3049999999999999E-8</v>
          </cell>
          <cell r="Q21">
            <v>1.26669E-6</v>
          </cell>
          <cell r="R21">
            <v>1.000000035</v>
          </cell>
          <cell r="S21">
            <v>1.1959999999999999E-8</v>
          </cell>
          <cell r="T21">
            <v>1.000000022</v>
          </cell>
          <cell r="U21">
            <v>3.96E-7</v>
          </cell>
          <cell r="V21">
            <v>3.8500000000000001E-5</v>
          </cell>
          <cell r="W21">
            <v>1.0000010619999999</v>
          </cell>
          <cell r="X21">
            <v>3.6300000000000001E-7</v>
          </cell>
          <cell r="Y21">
            <v>1.0000006779999999</v>
          </cell>
          <cell r="Z21">
            <v>0</v>
          </cell>
          <cell r="AA21">
            <v>0</v>
          </cell>
          <cell r="AB21">
            <v>1</v>
          </cell>
          <cell r="AC21">
            <v>0</v>
          </cell>
          <cell r="AD21">
            <v>1</v>
          </cell>
          <cell r="AE21">
            <v>18.106025120000002</v>
          </cell>
          <cell r="AF21">
            <v>1.422826755</v>
          </cell>
          <cell r="AG21">
            <v>18.105984589999998</v>
          </cell>
          <cell r="AH21">
            <v>1.422638565</v>
          </cell>
          <cell r="AI21" t="str">
            <v>Medium</v>
          </cell>
          <cell r="AJ21" t="str">
            <v>Medium</v>
          </cell>
          <cell r="AK21" t="str">
            <v>Medium</v>
          </cell>
          <cell r="AL21" t="str">
            <v>Medium</v>
          </cell>
          <cell r="AM21" t="str">
            <v>Avoid_Low</v>
          </cell>
          <cell r="AN21" t="str">
            <v>Avoid_Low</v>
          </cell>
          <cell r="AO21" t="str">
            <v>Avoid_Low</v>
          </cell>
          <cell r="AP21" t="str">
            <v>Avoid_Low</v>
          </cell>
        </row>
        <row r="22">
          <cell r="A22" t="str">
            <v>SH0020-KG</v>
          </cell>
          <cell r="B22">
            <v>35.996736132800002</v>
          </cell>
          <cell r="C22" t="str">
            <v>West</v>
          </cell>
          <cell r="D22">
            <v>35.9967421367</v>
          </cell>
          <cell r="E22" t="str">
            <v>SH0020-KG</v>
          </cell>
          <cell r="F22">
            <v>3338.0285629999998</v>
          </cell>
          <cell r="G22">
            <v>118520.486215</v>
          </cell>
          <cell r="H22">
            <v>3247.038818</v>
          </cell>
          <cell r="I22">
            <v>45.49487259</v>
          </cell>
          <cell r="J22">
            <v>3292.5336900000002</v>
          </cell>
          <cell r="K22">
            <v>1.1299999999999999E-2</v>
          </cell>
          <cell r="L22">
            <v>1.159839496</v>
          </cell>
          <cell r="M22">
            <v>1.0352418459999999</v>
          </cell>
          <cell r="N22">
            <v>6.6E-3</v>
          </cell>
          <cell r="O22">
            <v>1.0212802219999999</v>
          </cell>
          <cell r="P22">
            <v>2.4600000000000002E-4</v>
          </cell>
          <cell r="Q22">
            <v>2.3897954999999999E-2</v>
          </cell>
          <cell r="R22">
            <v>1.000661069</v>
          </cell>
          <cell r="S22">
            <v>1.7100000000000001E-4</v>
          </cell>
          <cell r="T22">
            <v>1.000421199</v>
          </cell>
          <cell r="U22">
            <v>2.2200000000000002E-3</v>
          </cell>
          <cell r="V22">
            <v>0.21703755399999999</v>
          </cell>
          <cell r="W22">
            <v>1.0060770910000001</v>
          </cell>
          <cell r="X22">
            <v>1.5100000000000001E-3</v>
          </cell>
          <cell r="Y22">
            <v>1.003845348</v>
          </cell>
          <cell r="Z22">
            <v>5.44E-7</v>
          </cell>
          <cell r="AA22">
            <v>5.2899999999999998E-5</v>
          </cell>
          <cell r="AB22">
            <v>1.00000146</v>
          </cell>
          <cell r="AC22">
            <v>3.8099999999999998E-7</v>
          </cell>
          <cell r="AD22">
            <v>1.000000931</v>
          </cell>
          <cell r="AE22">
            <v>-78.853561429999999</v>
          </cell>
          <cell r="AF22">
            <v>449.0325302</v>
          </cell>
          <cell r="AG22">
            <v>-78.7754245</v>
          </cell>
          <cell r="AH22">
            <v>449.10636410000001</v>
          </cell>
          <cell r="AI22" t="str">
            <v>Medium</v>
          </cell>
          <cell r="AJ22" t="str">
            <v>High</v>
          </cell>
          <cell r="AK22" t="str">
            <v>Medium</v>
          </cell>
          <cell r="AL22" t="str">
            <v>High</v>
          </cell>
          <cell r="AM22" t="str">
            <v>Utilize_Med</v>
          </cell>
          <cell r="AN22" t="str">
            <v>Avoid_High</v>
          </cell>
          <cell r="AO22" t="str">
            <v>Utilize_Med</v>
          </cell>
          <cell r="AP22" t="str">
            <v>Avoid_High</v>
          </cell>
        </row>
        <row r="23">
          <cell r="A23" t="str">
            <v>SH0044-1</v>
          </cell>
          <cell r="B23">
            <v>56.324086317999999</v>
          </cell>
          <cell r="C23" t="str">
            <v>South</v>
          </cell>
          <cell r="D23">
            <v>56.324097614899998</v>
          </cell>
          <cell r="E23" t="str">
            <v>SH0044-1</v>
          </cell>
          <cell r="F23">
            <v>1007.510681</v>
          </cell>
          <cell r="G23">
            <v>32267.829376000002</v>
          </cell>
          <cell r="H23">
            <v>138.28057820000001</v>
          </cell>
          <cell r="I23">
            <v>434.61505160000002</v>
          </cell>
          <cell r="J23">
            <v>572.89562999999998</v>
          </cell>
          <cell r="K23">
            <v>8.8699999999999994E-8</v>
          </cell>
          <cell r="L23">
            <v>8.6100000000000006E-6</v>
          </cell>
          <cell r="M23">
            <v>1.0000002379999999</v>
          </cell>
          <cell r="N23">
            <v>8.0400000000000005E-8</v>
          </cell>
          <cell r="O23">
            <v>1.0000001519999999</v>
          </cell>
          <cell r="P23">
            <v>7.7599999999999993E-8</v>
          </cell>
          <cell r="Q23">
            <v>7.5399999999999998E-6</v>
          </cell>
          <cell r="R23">
            <v>1.0000002079999999</v>
          </cell>
          <cell r="S23">
            <v>7.0500000000000003E-8</v>
          </cell>
          <cell r="T23">
            <v>1.0000001329999999</v>
          </cell>
          <cell r="U23">
            <v>1.68E-6</v>
          </cell>
          <cell r="V23">
            <v>1.64E-4</v>
          </cell>
          <cell r="W23">
            <v>1.000004516</v>
          </cell>
          <cell r="X23">
            <v>1.5200000000000001E-6</v>
          </cell>
          <cell r="Y23">
            <v>1.00000288</v>
          </cell>
          <cell r="Z23">
            <v>9.6299999999999992E-9</v>
          </cell>
          <cell r="AA23">
            <v>9.3600000000000002E-7</v>
          </cell>
          <cell r="AB23">
            <v>1.0000000259999999</v>
          </cell>
          <cell r="AC23">
            <v>9.3100000000000003E-9</v>
          </cell>
          <cell r="AD23">
            <v>1.000000016</v>
          </cell>
          <cell r="AE23">
            <v>-35.208437109999998</v>
          </cell>
          <cell r="AF23">
            <v>-68.430974039999995</v>
          </cell>
          <cell r="AG23">
            <v>-35.209963999999999</v>
          </cell>
          <cell r="AH23">
            <v>-68.430370550000006</v>
          </cell>
          <cell r="AI23" t="str">
            <v>Medium</v>
          </cell>
          <cell r="AJ23" t="str">
            <v>Low</v>
          </cell>
          <cell r="AK23" t="str">
            <v>Medium</v>
          </cell>
          <cell r="AL23" t="str">
            <v>Low</v>
          </cell>
          <cell r="AM23" t="str">
            <v>Utilize_Low</v>
          </cell>
          <cell r="AN23" t="str">
            <v>Utilize_High</v>
          </cell>
          <cell r="AO23" t="str">
            <v>Utilize_Low</v>
          </cell>
          <cell r="AP23" t="str">
            <v>Utilize_High</v>
          </cell>
        </row>
        <row r="24">
          <cell r="A24" t="str">
            <v>SH0044-2</v>
          </cell>
          <cell r="B24">
            <v>43.110311660000001</v>
          </cell>
          <cell r="C24" t="str">
            <v>South</v>
          </cell>
          <cell r="D24">
            <v>43.1103204307</v>
          </cell>
          <cell r="E24" t="str">
            <v>SH0044-2</v>
          </cell>
          <cell r="F24">
            <v>5476.9889640000001</v>
          </cell>
          <cell r="G24">
            <v>211604.40996300001</v>
          </cell>
          <cell r="H24">
            <v>4339.8905150000001</v>
          </cell>
          <cell r="I24">
            <v>568.54922480000005</v>
          </cell>
          <cell r="J24">
            <v>4908.4397390000004</v>
          </cell>
          <cell r="K24">
            <v>3.73774E-4</v>
          </cell>
          <cell r="L24">
            <v>3.6438048000000001E-2</v>
          </cell>
          <cell r="M24">
            <v>1.001013167</v>
          </cell>
          <cell r="N24">
            <v>3.3463699999999999E-4</v>
          </cell>
          <cell r="O24">
            <v>1.0006436480000001</v>
          </cell>
          <cell r="P24">
            <v>4.1631000000000002E-5</v>
          </cell>
          <cell r="Q24">
            <v>4.0441649999999997E-3</v>
          </cell>
          <cell r="R24">
            <v>1.000111749</v>
          </cell>
          <cell r="S24">
            <v>3.7700000000000002E-5</v>
          </cell>
          <cell r="T24">
            <v>1.000071245</v>
          </cell>
          <cell r="U24">
            <v>7.3023900000000004E-4</v>
          </cell>
          <cell r="V24">
            <v>7.1501321000000007E-2</v>
          </cell>
          <cell r="W24">
            <v>1.0020036160000001</v>
          </cell>
          <cell r="X24">
            <v>6.4170999999999998E-4</v>
          </cell>
          <cell r="Y24">
            <v>1.0012672490000001</v>
          </cell>
          <cell r="Z24">
            <v>5.2800000000000003E-8</v>
          </cell>
          <cell r="AA24">
            <v>5.13E-6</v>
          </cell>
          <cell r="AB24">
            <v>1.000000142</v>
          </cell>
          <cell r="AC24">
            <v>4.8E-8</v>
          </cell>
          <cell r="AD24">
            <v>1.0000000899999999</v>
          </cell>
          <cell r="AE24">
            <v>-48.766544590000002</v>
          </cell>
          <cell r="AF24">
            <v>17.050298489999999</v>
          </cell>
          <cell r="AG24">
            <v>-47.944835159999997</v>
          </cell>
          <cell r="AH24">
            <v>17.073817129999998</v>
          </cell>
          <cell r="AI24" t="str">
            <v>Medium</v>
          </cell>
          <cell r="AJ24" t="str">
            <v>Medium</v>
          </cell>
          <cell r="AK24" t="str">
            <v>Medium</v>
          </cell>
          <cell r="AL24" t="str">
            <v>Medium</v>
          </cell>
          <cell r="AM24" t="str">
            <v>Utilize_Low</v>
          </cell>
          <cell r="AN24" t="str">
            <v>Avoid_Med</v>
          </cell>
          <cell r="AO24" t="str">
            <v>Utilize_Low</v>
          </cell>
          <cell r="AP24" t="str">
            <v>Avoid_Med</v>
          </cell>
        </row>
        <row r="25">
          <cell r="A25" t="str">
            <v>SH0072-KG</v>
          </cell>
          <cell r="B25">
            <v>41.542048884700002</v>
          </cell>
          <cell r="C25" t="str">
            <v>South</v>
          </cell>
          <cell r="D25">
            <v>41.542057224399997</v>
          </cell>
          <cell r="E25" t="str">
            <v>SH0072-KG</v>
          </cell>
          <cell r="F25">
            <v>2030.855963</v>
          </cell>
          <cell r="G25">
            <v>50175.8582274</v>
          </cell>
          <cell r="H25">
            <v>384.80958459999999</v>
          </cell>
          <cell r="I25">
            <v>823.02318930000001</v>
          </cell>
          <cell r="J25">
            <v>1207.832774</v>
          </cell>
          <cell r="K25">
            <v>3.0699999999999998E-7</v>
          </cell>
          <cell r="L25">
            <v>2.9799999999999999E-5</v>
          </cell>
          <cell r="M25">
            <v>1.000000824</v>
          </cell>
          <cell r="N25">
            <v>2.8200000000000001E-7</v>
          </cell>
          <cell r="O25">
            <v>1.0000005249999999</v>
          </cell>
          <cell r="P25">
            <v>6.9349999999999996E-8</v>
          </cell>
          <cell r="Q25">
            <v>6.7334699999999996E-6</v>
          </cell>
          <cell r="R25">
            <v>1.0000001860000001</v>
          </cell>
          <cell r="S25">
            <v>6.3570000000000006E-8</v>
          </cell>
          <cell r="T25">
            <v>1.0000001190000001</v>
          </cell>
          <cell r="U25">
            <v>5.3199999999999999E-5</v>
          </cell>
          <cell r="V25">
            <v>5.1599999999999997E-3</v>
          </cell>
          <cell r="W25">
            <v>1.000142697</v>
          </cell>
          <cell r="X25">
            <v>4.8699999999999998E-5</v>
          </cell>
          <cell r="Y25">
            <v>1.0000909790000001</v>
          </cell>
          <cell r="Z25">
            <v>0</v>
          </cell>
          <cell r="AA25">
            <v>0</v>
          </cell>
          <cell r="AB25">
            <v>1</v>
          </cell>
          <cell r="AC25">
            <v>0</v>
          </cell>
          <cell r="AD25">
            <v>1</v>
          </cell>
          <cell r="AE25">
            <v>-94.721280849999999</v>
          </cell>
          <cell r="AF25">
            <v>-151.5326723</v>
          </cell>
          <cell r="AG25">
            <v>-94.746308720000002</v>
          </cell>
          <cell r="AH25">
            <v>-151.5822264</v>
          </cell>
          <cell r="AI25" t="str">
            <v>Medium</v>
          </cell>
          <cell r="AJ25" t="str">
            <v>Low</v>
          </cell>
          <cell r="AK25" t="str">
            <v>Medium</v>
          </cell>
          <cell r="AL25" t="str">
            <v>Low</v>
          </cell>
          <cell r="AM25" t="str">
            <v>Utilize_Med</v>
          </cell>
          <cell r="AN25" t="str">
            <v>Utilize_High</v>
          </cell>
          <cell r="AO25" t="str">
            <v>Utilize_Med</v>
          </cell>
          <cell r="AP25" t="str">
            <v>Utilize_High</v>
          </cell>
        </row>
        <row r="26">
          <cell r="A26" t="str">
            <v>SH0085-KG</v>
          </cell>
          <cell r="B26">
            <v>76.816569730099999</v>
          </cell>
          <cell r="C26" t="str">
            <v>Central</v>
          </cell>
          <cell r="D26">
            <v>76.816584952200003</v>
          </cell>
          <cell r="E26" t="str">
            <v>SH0085-KG</v>
          </cell>
          <cell r="F26">
            <v>3331.7501229999998</v>
          </cell>
          <cell r="G26">
            <v>195395.580594</v>
          </cell>
          <cell r="H26">
            <v>1755.577847</v>
          </cell>
          <cell r="I26">
            <v>788.08613809999997</v>
          </cell>
          <cell r="J26">
            <v>2543.6639850000001</v>
          </cell>
          <cell r="K26">
            <v>3.4499999999999998E-5</v>
          </cell>
          <cell r="L26">
            <v>3.3551950000000001E-3</v>
          </cell>
          <cell r="M26">
            <v>1.0000929679999999</v>
          </cell>
          <cell r="N26">
            <v>3.0800000000000003E-5</v>
          </cell>
          <cell r="O26">
            <v>1.0000591780000001</v>
          </cell>
          <cell r="P26">
            <v>1.7999999999999999E-6</v>
          </cell>
          <cell r="Q26">
            <v>1.74597E-4</v>
          </cell>
          <cell r="R26">
            <v>1.0000048210000001</v>
          </cell>
          <cell r="S26">
            <v>1.6199999999999999E-6</v>
          </cell>
          <cell r="T26">
            <v>1.000003075</v>
          </cell>
          <cell r="U26">
            <v>4.5100000000000001E-4</v>
          </cell>
          <cell r="V26">
            <v>4.4946478999999998E-2</v>
          </cell>
          <cell r="W26">
            <v>1.0013005530000001</v>
          </cell>
          <cell r="X26">
            <v>3.6999999999999999E-4</v>
          </cell>
          <cell r="Y26">
            <v>1.0008076610000001</v>
          </cell>
          <cell r="Z26">
            <v>0</v>
          </cell>
          <cell r="AA26">
            <v>0</v>
          </cell>
          <cell r="AB26">
            <v>1</v>
          </cell>
          <cell r="AC26">
            <v>0</v>
          </cell>
          <cell r="AD26">
            <v>1</v>
          </cell>
          <cell r="AE26">
            <v>2.7790188750000002</v>
          </cell>
          <cell r="AF26">
            <v>-128.0909484</v>
          </cell>
          <cell r="AG26">
            <v>2.931717221</v>
          </cell>
          <cell r="AH26">
            <v>-128.145995</v>
          </cell>
          <cell r="AI26" t="str">
            <v>Medium</v>
          </cell>
          <cell r="AJ26" t="str">
            <v>Low</v>
          </cell>
          <cell r="AK26" t="str">
            <v>Medium</v>
          </cell>
          <cell r="AL26" t="str">
            <v>Low</v>
          </cell>
          <cell r="AM26" t="str">
            <v>Avoid_Low</v>
          </cell>
          <cell r="AN26" t="str">
            <v>Utilize_High</v>
          </cell>
          <cell r="AO26" t="str">
            <v>Avoid_Low</v>
          </cell>
          <cell r="AP26" t="str">
            <v>Utilize_High</v>
          </cell>
        </row>
        <row r="27">
          <cell r="A27" t="str">
            <v>SH0097-KG</v>
          </cell>
          <cell r="B27">
            <v>75.904228896299998</v>
          </cell>
          <cell r="C27" t="str">
            <v>South</v>
          </cell>
          <cell r="D27">
            <v>75.904244042800002</v>
          </cell>
          <cell r="E27" t="str">
            <v>SH0097-KG</v>
          </cell>
          <cell r="F27">
            <v>3781.4456300000002</v>
          </cell>
          <cell r="G27">
            <v>214529.757029</v>
          </cell>
          <cell r="H27">
            <v>1871.1963189999999</v>
          </cell>
          <cell r="I27">
            <v>955.12465540000005</v>
          </cell>
          <cell r="J27">
            <v>2826.3209750000001</v>
          </cell>
          <cell r="K27">
            <v>3.01E-4</v>
          </cell>
          <cell r="L27">
            <v>2.9490083E-2</v>
          </cell>
          <cell r="M27">
            <v>1.0008262560000001</v>
          </cell>
          <cell r="N27">
            <v>2.61E-4</v>
          </cell>
          <cell r="O27">
            <v>1.0005226309999999</v>
          </cell>
          <cell r="P27">
            <v>2.7100000000000001E-5</v>
          </cell>
          <cell r="Q27">
            <v>2.6369940000000001E-3</v>
          </cell>
          <cell r="R27">
            <v>1.000072871</v>
          </cell>
          <cell r="S27">
            <v>2.3900000000000002E-5</v>
          </cell>
          <cell r="T27">
            <v>1.000046456</v>
          </cell>
          <cell r="U27">
            <v>1.178353E-3</v>
          </cell>
          <cell r="V27">
            <v>0.116997929</v>
          </cell>
          <cell r="W27">
            <v>1.003362997</v>
          </cell>
          <cell r="X27">
            <v>9.7574100000000002E-4</v>
          </cell>
          <cell r="Y27">
            <v>1.0020962330000001</v>
          </cell>
          <cell r="Z27">
            <v>5.8000000000000003E-8</v>
          </cell>
          <cell r="AA27">
            <v>5.6400000000000002E-6</v>
          </cell>
          <cell r="AB27">
            <v>1.000000156</v>
          </cell>
          <cell r="AC27">
            <v>5.1300000000000003E-8</v>
          </cell>
          <cell r="AD27">
            <v>1.000000099</v>
          </cell>
          <cell r="AE27">
            <v>-126.85304960000001</v>
          </cell>
          <cell r="AF27">
            <v>-94.945530259999998</v>
          </cell>
          <cell r="AG27">
            <v>-126.3819548</v>
          </cell>
          <cell r="AH27">
            <v>-94.940626760000001</v>
          </cell>
          <cell r="AI27" t="str">
            <v>Medium</v>
          </cell>
          <cell r="AJ27" t="str">
            <v>Low</v>
          </cell>
          <cell r="AK27" t="str">
            <v>Medium</v>
          </cell>
          <cell r="AL27" t="str">
            <v>Low</v>
          </cell>
          <cell r="AM27" t="str">
            <v>Utilize_Med</v>
          </cell>
          <cell r="AN27" t="str">
            <v>Utilize_High</v>
          </cell>
          <cell r="AO27" t="str">
            <v>Utilize_Med</v>
          </cell>
          <cell r="AP27" t="str">
            <v>Utilize_High</v>
          </cell>
        </row>
        <row r="28">
          <cell r="A28" t="str">
            <v>SH0107-KG</v>
          </cell>
          <cell r="B28">
            <v>24.2876317204</v>
          </cell>
          <cell r="C28" t="str">
            <v>South</v>
          </cell>
          <cell r="D28">
            <v>24.287636812399999</v>
          </cell>
          <cell r="E28" t="str">
            <v>SH0107-KG</v>
          </cell>
          <cell r="F28">
            <v>12626.55457</v>
          </cell>
          <cell r="G28">
            <v>298468.668975999</v>
          </cell>
          <cell r="H28">
            <v>11951.27252</v>
          </cell>
          <cell r="I28">
            <v>337.6410252</v>
          </cell>
          <cell r="J28">
            <v>12288.91354</v>
          </cell>
          <cell r="K28">
            <v>7.5239089999999996E-3</v>
          </cell>
          <cell r="L28">
            <v>0.77094160099999998</v>
          </cell>
          <cell r="M28">
            <v>1.0235500129999999</v>
          </cell>
          <cell r="N28">
            <v>5.5835030000000001E-3</v>
          </cell>
          <cell r="O28">
            <v>1.0141686430000001</v>
          </cell>
          <cell r="P28">
            <v>4.86E-4</v>
          </cell>
          <cell r="Q28">
            <v>4.7327708000000003E-2</v>
          </cell>
          <cell r="R28">
            <v>1.001315454</v>
          </cell>
          <cell r="S28">
            <v>4.35E-4</v>
          </cell>
          <cell r="T28">
            <v>1.000835865</v>
          </cell>
          <cell r="U28">
            <v>1.249425E-2</v>
          </cell>
          <cell r="V28">
            <v>1.3209822520000001</v>
          </cell>
          <cell r="W28">
            <v>1.0430702439999999</v>
          </cell>
          <cell r="X28">
            <v>8.492243E-3</v>
          </cell>
          <cell r="Y28">
            <v>1.024930809</v>
          </cell>
          <cell r="Z28">
            <v>5.8899999999999999E-7</v>
          </cell>
          <cell r="AA28">
            <v>5.7200000000000001E-5</v>
          </cell>
          <cell r="AB28">
            <v>1.0000015799999999</v>
          </cell>
          <cell r="AC28">
            <v>5.37E-7</v>
          </cell>
          <cell r="AD28">
            <v>1.0000010079999999</v>
          </cell>
          <cell r="AE28">
            <v>-2223.245034</v>
          </cell>
          <cell r="AF28">
            <v>-18.010383529999999</v>
          </cell>
          <cell r="AG28">
            <v>-2223.2066209999998</v>
          </cell>
          <cell r="AH28">
            <v>-18.000992629999999</v>
          </cell>
          <cell r="AI28" t="str">
            <v>Low</v>
          </cell>
          <cell r="AJ28" t="str">
            <v>Medium</v>
          </cell>
          <cell r="AK28" t="str">
            <v>Low</v>
          </cell>
          <cell r="AL28" t="str">
            <v>Medium</v>
          </cell>
          <cell r="AM28" t="str">
            <v>Utilize_High</v>
          </cell>
          <cell r="AN28" t="str">
            <v>Utilize_Med</v>
          </cell>
          <cell r="AO28" t="str">
            <v>Utilize_High</v>
          </cell>
          <cell r="AP28" t="str">
            <v>Utilize_Med</v>
          </cell>
        </row>
        <row r="29">
          <cell r="A29" t="str">
            <v>SH0141-KG</v>
          </cell>
          <cell r="B29">
            <v>16.2004129271</v>
          </cell>
          <cell r="C29" t="str">
            <v>South</v>
          </cell>
          <cell r="D29">
            <v>16.200416254099999</v>
          </cell>
          <cell r="E29" t="str">
            <v>SH0141-KG</v>
          </cell>
          <cell r="F29">
            <v>2051.157303</v>
          </cell>
          <cell r="G29">
            <v>29867.6555028</v>
          </cell>
          <cell r="H29">
            <v>1636.1128309999999</v>
          </cell>
          <cell r="I29">
            <v>207.52223599999999</v>
          </cell>
          <cell r="J29">
            <v>1843.6350669999999</v>
          </cell>
          <cell r="K29">
            <v>8.4600000000000003E-8</v>
          </cell>
          <cell r="L29">
            <v>8.2199999999999992E-6</v>
          </cell>
          <cell r="M29">
            <v>1.0000002269999999</v>
          </cell>
          <cell r="N29">
            <v>7.6000000000000006E-8</v>
          </cell>
          <cell r="O29">
            <v>1.000000145</v>
          </cell>
          <cell r="P29">
            <v>4.1199999999999998E-8</v>
          </cell>
          <cell r="Q29">
            <v>3.9999999999999998E-6</v>
          </cell>
          <cell r="R29">
            <v>1.00000011</v>
          </cell>
          <cell r="S29">
            <v>4.6700000000000001E-8</v>
          </cell>
          <cell r="T29">
            <v>1.00000007</v>
          </cell>
          <cell r="U29">
            <v>1.3899999999999999E-7</v>
          </cell>
          <cell r="V29">
            <v>1.3499999999999999E-5</v>
          </cell>
          <cell r="W29">
            <v>1.0000003740000001</v>
          </cell>
          <cell r="X29">
            <v>1.0700000000000001E-7</v>
          </cell>
          <cell r="Y29">
            <v>1.0000002379999999</v>
          </cell>
          <cell r="Z29">
            <v>4.1199999999999998E-8</v>
          </cell>
          <cell r="AA29">
            <v>3.9999999999999998E-6</v>
          </cell>
          <cell r="AB29">
            <v>1.00000011</v>
          </cell>
          <cell r="AC29">
            <v>4.6700000000000001E-8</v>
          </cell>
          <cell r="AD29">
            <v>1.00000007</v>
          </cell>
          <cell r="AE29">
            <v>-45.254249139999999</v>
          </cell>
          <cell r="AF29">
            <v>26.803634049999999</v>
          </cell>
          <cell r="AG29">
            <v>-45.291158080000002</v>
          </cell>
          <cell r="AH29">
            <v>26.780741809999999</v>
          </cell>
          <cell r="AI29" t="str">
            <v>Medium</v>
          </cell>
          <cell r="AJ29" t="str">
            <v>Medium</v>
          </cell>
          <cell r="AK29" t="str">
            <v>Medium</v>
          </cell>
          <cell r="AL29" t="str">
            <v>Medium</v>
          </cell>
          <cell r="AM29" t="str">
            <v>Utilize_Low</v>
          </cell>
          <cell r="AN29" t="str">
            <v>Avoid_Med</v>
          </cell>
          <cell r="AO29" t="str">
            <v>Utilize_Low</v>
          </cell>
          <cell r="AP29" t="str">
            <v>Avoid_Med</v>
          </cell>
        </row>
        <row r="30">
          <cell r="A30" t="str">
            <v>SH0173-2</v>
          </cell>
          <cell r="B30">
            <v>84.428982097299993</v>
          </cell>
          <cell r="C30" t="str">
            <v>Central</v>
          </cell>
          <cell r="D30">
            <v>84.4289985992</v>
          </cell>
          <cell r="E30" t="str">
            <v>SH0173-2</v>
          </cell>
          <cell r="F30">
            <v>8994.2446629999995</v>
          </cell>
          <cell r="G30">
            <v>580813.36740400002</v>
          </cell>
          <cell r="H30">
            <v>4764.3780139999999</v>
          </cell>
          <cell r="I30">
            <v>2114.933325</v>
          </cell>
          <cell r="J30">
            <v>6879.3113389999999</v>
          </cell>
          <cell r="K30">
            <v>2.0460003000000001E-2</v>
          </cell>
          <cell r="L30">
            <v>2.5543571169999999</v>
          </cell>
          <cell r="M30">
            <v>1.1303946789999999</v>
          </cell>
          <cell r="N30">
            <v>9.4373540000000002E-3</v>
          </cell>
          <cell r="O30">
            <v>1.0569052569999999</v>
          </cell>
          <cell r="P30">
            <v>3.2100000000000001E-5</v>
          </cell>
          <cell r="Q30">
            <v>3.1142779999999998E-3</v>
          </cell>
          <cell r="R30">
            <v>1.0000860389999999</v>
          </cell>
          <cell r="S30">
            <v>2.72E-5</v>
          </cell>
          <cell r="T30">
            <v>1.000054859</v>
          </cell>
          <cell r="U30">
            <v>2.8004032000000002E-2</v>
          </cell>
          <cell r="V30">
            <v>3.7032729629999999</v>
          </cell>
          <cell r="W30">
            <v>1.23109504</v>
          </cell>
          <cell r="X30">
            <v>1.1994062999999999E-2</v>
          </cell>
          <cell r="Y30">
            <v>1.0883569870000001</v>
          </cell>
          <cell r="Z30">
            <v>7.6799999999999999E-8</v>
          </cell>
          <cell r="AA30">
            <v>7.4599999999999997E-6</v>
          </cell>
          <cell r="AB30">
            <v>1.0000002059999999</v>
          </cell>
          <cell r="AC30">
            <v>6.73E-8</v>
          </cell>
          <cell r="AD30">
            <v>1.000000131</v>
          </cell>
          <cell r="AE30">
            <v>-2091.2050840000002</v>
          </cell>
          <cell r="AF30">
            <v>-1820.598356</v>
          </cell>
          <cell r="AG30">
            <v>-2094.3146940000001</v>
          </cell>
          <cell r="AH30">
            <v>-1821.0725210000001</v>
          </cell>
          <cell r="AI30" t="str">
            <v>Low</v>
          </cell>
          <cell r="AJ30" t="str">
            <v>Low</v>
          </cell>
          <cell r="AK30" t="str">
            <v>Low</v>
          </cell>
          <cell r="AL30" t="str">
            <v>Low</v>
          </cell>
          <cell r="AM30" t="str">
            <v>Utilize_High</v>
          </cell>
          <cell r="AN30" t="str">
            <v>Utilize_High</v>
          </cell>
          <cell r="AO30" t="str">
            <v>Utilize_High</v>
          </cell>
          <cell r="AP30" t="str">
            <v>Utilize_High</v>
          </cell>
        </row>
        <row r="31">
          <cell r="A31" t="str">
            <v>SH0173-1</v>
          </cell>
          <cell r="B31">
            <v>16.3123234551</v>
          </cell>
          <cell r="C31" t="str">
            <v>South</v>
          </cell>
          <cell r="D31">
            <v>16.312326702699998</v>
          </cell>
          <cell r="E31" t="str">
            <v>SH0173-1</v>
          </cell>
          <cell r="F31">
            <v>3202.8873629999998</v>
          </cell>
          <cell r="G31">
            <v>36825.317157799996</v>
          </cell>
          <cell r="H31">
            <v>1312.142016</v>
          </cell>
          <cell r="I31">
            <v>945.37267369999995</v>
          </cell>
          <cell r="J31">
            <v>2257.5146890000001</v>
          </cell>
          <cell r="K31">
            <v>2.8600000000000001E-6</v>
          </cell>
          <cell r="L31">
            <v>2.7799999999999998E-4</v>
          </cell>
          <cell r="M31">
            <v>1.000007665</v>
          </cell>
          <cell r="N31">
            <v>2.6199999999999999E-6</v>
          </cell>
          <cell r="O31">
            <v>1.000004889</v>
          </cell>
          <cell r="P31">
            <v>0</v>
          </cell>
          <cell r="Q31">
            <v>0</v>
          </cell>
          <cell r="R31">
            <v>1</v>
          </cell>
          <cell r="S31">
            <v>0</v>
          </cell>
          <cell r="T31">
            <v>1</v>
          </cell>
          <cell r="U31">
            <v>2.9799999999999999E-5</v>
          </cell>
          <cell r="V31">
            <v>2.8900000000000002E-3</v>
          </cell>
          <cell r="W31">
            <v>1.0000799039999999</v>
          </cell>
          <cell r="X31">
            <v>2.73E-5</v>
          </cell>
          <cell r="Y31">
            <v>1.0000509639999999</v>
          </cell>
          <cell r="Z31">
            <v>0</v>
          </cell>
          <cell r="AA31">
            <v>0</v>
          </cell>
          <cell r="AB31">
            <v>1</v>
          </cell>
          <cell r="AC31">
            <v>0</v>
          </cell>
          <cell r="AD31">
            <v>1</v>
          </cell>
          <cell r="AE31">
            <v>-599.55470360000004</v>
          </cell>
          <cell r="AF31">
            <v>-708.24717869999995</v>
          </cell>
          <cell r="AG31">
            <v>-599.53490859999999</v>
          </cell>
          <cell r="AH31">
            <v>-708.28851199999997</v>
          </cell>
          <cell r="AI31" t="str">
            <v>Medium</v>
          </cell>
          <cell r="AJ31" t="str">
            <v>Low</v>
          </cell>
          <cell r="AK31" t="str">
            <v>Medium</v>
          </cell>
          <cell r="AL31" t="str">
            <v>Low</v>
          </cell>
          <cell r="AM31" t="str">
            <v>Utilize_Med</v>
          </cell>
          <cell r="AN31" t="str">
            <v>Utilize_High</v>
          </cell>
          <cell r="AO31" t="str">
            <v>Utilize_Med</v>
          </cell>
          <cell r="AP31" t="str">
            <v>Utilize_High</v>
          </cell>
        </row>
        <row r="32">
          <cell r="A32" t="str">
            <v>SH0186-KG</v>
          </cell>
          <cell r="B32">
            <v>23.3867259365</v>
          </cell>
          <cell r="C32" t="str">
            <v>South</v>
          </cell>
          <cell r="D32">
            <v>23.386730853</v>
          </cell>
          <cell r="E32" t="str">
            <v>SH0186-KG</v>
          </cell>
          <cell r="F32">
            <v>3099.124108</v>
          </cell>
          <cell r="G32">
            <v>63944.541532499999</v>
          </cell>
          <cell r="H32">
            <v>2369.3222449999998</v>
          </cell>
          <cell r="I32">
            <v>364.90093180000002</v>
          </cell>
          <cell r="J32">
            <v>2734.2231769999999</v>
          </cell>
          <cell r="K32">
            <v>7.61E-7</v>
          </cell>
          <cell r="L32">
            <v>7.3905999999999993E-5</v>
          </cell>
          <cell r="M32">
            <v>1.0000020409999999</v>
          </cell>
          <cell r="N32">
            <v>6.9400000000000005E-7</v>
          </cell>
          <cell r="O32">
            <v>1.000001302</v>
          </cell>
          <cell r="P32">
            <v>4.95E-8</v>
          </cell>
          <cell r="Q32">
            <v>4.8099999999999997E-6</v>
          </cell>
          <cell r="R32">
            <v>1.0000001329999999</v>
          </cell>
          <cell r="S32">
            <v>5.2600000000000001E-8</v>
          </cell>
          <cell r="T32">
            <v>1.0000000849999999</v>
          </cell>
          <cell r="U32">
            <v>7.2699999999999999E-7</v>
          </cell>
          <cell r="V32">
            <v>7.0562500000000001E-5</v>
          </cell>
          <cell r="W32">
            <v>1.000001948</v>
          </cell>
          <cell r="X32">
            <v>6.6199999999999997E-7</v>
          </cell>
          <cell r="Y32">
            <v>1.000001243</v>
          </cell>
          <cell r="Z32">
            <v>2.85E-8</v>
          </cell>
          <cell r="AA32">
            <v>2.7700000000000002E-6</v>
          </cell>
          <cell r="AB32">
            <v>1.0000000760000001</v>
          </cell>
          <cell r="AC32">
            <v>3.3699999999999997E-8</v>
          </cell>
          <cell r="AD32">
            <v>1.0000000490000001</v>
          </cell>
          <cell r="AE32">
            <v>-113.160146</v>
          </cell>
          <cell r="AF32">
            <v>17.708519320000001</v>
          </cell>
          <cell r="AG32">
            <v>-113.1948931</v>
          </cell>
          <cell r="AH32">
            <v>17.706927740000001</v>
          </cell>
          <cell r="AI32" t="str">
            <v>Medium</v>
          </cell>
          <cell r="AJ32" t="str">
            <v>Medium</v>
          </cell>
          <cell r="AK32" t="str">
            <v>Medium</v>
          </cell>
          <cell r="AL32" t="str">
            <v>Medium</v>
          </cell>
          <cell r="AM32" t="str">
            <v>Utilize_Med</v>
          </cell>
          <cell r="AN32" t="str">
            <v>Avoid_Med</v>
          </cell>
          <cell r="AO32" t="str">
            <v>Utilize_Med</v>
          </cell>
          <cell r="AP32" t="str">
            <v>Avoid_Med</v>
          </cell>
        </row>
        <row r="33">
          <cell r="A33" t="str">
            <v>SH0255-KG</v>
          </cell>
          <cell r="B33">
            <v>21.494777728999999</v>
          </cell>
          <cell r="C33" t="str">
            <v>South</v>
          </cell>
          <cell r="D33">
            <v>21.494782115300001</v>
          </cell>
          <cell r="E33" t="str">
            <v>SH0255-KG</v>
          </cell>
          <cell r="F33">
            <v>724.7472583</v>
          </cell>
          <cell r="G33">
            <v>10859.1933381</v>
          </cell>
          <cell r="H33">
            <v>285.65547980000002</v>
          </cell>
          <cell r="I33">
            <v>219.54588860000001</v>
          </cell>
          <cell r="J33">
            <v>505.20136889999998</v>
          </cell>
          <cell r="K33">
            <v>3.7100000000000001E-8</v>
          </cell>
          <cell r="L33">
            <v>3.5999999999999998E-6</v>
          </cell>
          <cell r="M33">
            <v>1.000000099</v>
          </cell>
          <cell r="N33">
            <v>4.2599999999999998E-8</v>
          </cell>
          <cell r="O33">
            <v>1.0000000630000001</v>
          </cell>
          <cell r="P33">
            <v>3.7100000000000001E-8</v>
          </cell>
          <cell r="Q33">
            <v>3.5999999999999998E-6</v>
          </cell>
          <cell r="R33">
            <v>1.000000099</v>
          </cell>
          <cell r="S33">
            <v>4.2599999999999998E-8</v>
          </cell>
          <cell r="T33">
            <v>1.0000000630000001</v>
          </cell>
          <cell r="U33">
            <v>3.7100000000000001E-8</v>
          </cell>
          <cell r="V33">
            <v>3.5999999999999998E-6</v>
          </cell>
          <cell r="W33">
            <v>1.000000099</v>
          </cell>
          <cell r="X33">
            <v>4.2599999999999998E-8</v>
          </cell>
          <cell r="Y33">
            <v>1.0000000630000001</v>
          </cell>
          <cell r="Z33">
            <v>3.7100000000000001E-8</v>
          </cell>
          <cell r="AA33">
            <v>3.5999999999999998E-6</v>
          </cell>
          <cell r="AB33">
            <v>1.000000099</v>
          </cell>
          <cell r="AC33">
            <v>4.2599999999999998E-8</v>
          </cell>
          <cell r="AD33">
            <v>1.0000000630000001</v>
          </cell>
          <cell r="AE33">
            <v>-44.088396320000001</v>
          </cell>
          <cell r="AF33">
            <v>-16.771582209999998</v>
          </cell>
          <cell r="AG33">
            <v>-44.088164689999999</v>
          </cell>
          <cell r="AH33">
            <v>-16.771263749999999</v>
          </cell>
          <cell r="AI33" t="str">
            <v>Medium</v>
          </cell>
          <cell r="AJ33" t="str">
            <v>Medium</v>
          </cell>
          <cell r="AK33" t="str">
            <v>Medium</v>
          </cell>
          <cell r="AL33" t="str">
            <v>Medium</v>
          </cell>
          <cell r="AM33" t="str">
            <v>Utilize_Low</v>
          </cell>
          <cell r="AN33" t="str">
            <v>Utilize_Med</v>
          </cell>
          <cell r="AO33" t="str">
            <v>Utilize_Low</v>
          </cell>
          <cell r="AP33" t="str">
            <v>Utilize_Med</v>
          </cell>
        </row>
        <row r="34">
          <cell r="A34" t="str">
            <v>SH0285-KG</v>
          </cell>
          <cell r="B34">
            <v>56.814608672299997</v>
          </cell>
          <cell r="C34" t="str">
            <v>South</v>
          </cell>
          <cell r="D34">
            <v>56.814620408000003</v>
          </cell>
          <cell r="E34" t="str">
            <v>SH0285-KG</v>
          </cell>
          <cell r="F34">
            <v>3618.166894</v>
          </cell>
          <cell r="G34">
            <v>154166.742346999</v>
          </cell>
          <cell r="H34">
            <v>1808.8426059999999</v>
          </cell>
          <cell r="I34">
            <v>904.66214409999998</v>
          </cell>
          <cell r="J34">
            <v>2713.5047500000001</v>
          </cell>
          <cell r="K34">
            <v>1.6899999999999999E-6</v>
          </cell>
          <cell r="L34">
            <v>1.6410799999999999E-4</v>
          </cell>
          <cell r="M34">
            <v>1.0000045310000001</v>
          </cell>
          <cell r="N34">
            <v>1.53E-6</v>
          </cell>
          <cell r="O34">
            <v>1.00000289</v>
          </cell>
          <cell r="P34">
            <v>1.26E-6</v>
          </cell>
          <cell r="Q34">
            <v>1.21863E-4</v>
          </cell>
          <cell r="R34">
            <v>1.000003365</v>
          </cell>
          <cell r="S34">
            <v>1.1400000000000001E-6</v>
          </cell>
          <cell r="T34">
            <v>1.0000021459999999</v>
          </cell>
          <cell r="U34">
            <v>3.9400000000000002E-5</v>
          </cell>
          <cell r="V34">
            <v>3.8263749999999999E-3</v>
          </cell>
          <cell r="W34">
            <v>1.000105689</v>
          </cell>
          <cell r="X34">
            <v>3.57E-5</v>
          </cell>
          <cell r="Y34">
            <v>1.0000673959999999</v>
          </cell>
          <cell r="Z34">
            <v>0</v>
          </cell>
          <cell r="AA34">
            <v>0</v>
          </cell>
          <cell r="AB34">
            <v>1</v>
          </cell>
          <cell r="AC34">
            <v>0</v>
          </cell>
          <cell r="AD34">
            <v>1</v>
          </cell>
          <cell r="AE34">
            <v>-709.87186819999999</v>
          </cell>
          <cell r="AF34">
            <v>-526.13223719999996</v>
          </cell>
          <cell r="AG34">
            <v>-710.24193530000002</v>
          </cell>
          <cell r="AH34">
            <v>-526.22430259999999</v>
          </cell>
          <cell r="AI34" t="str">
            <v>Medium</v>
          </cell>
          <cell r="AJ34" t="str">
            <v>Low</v>
          </cell>
          <cell r="AK34" t="str">
            <v>Medium</v>
          </cell>
          <cell r="AL34" t="str">
            <v>Low</v>
          </cell>
          <cell r="AM34" t="str">
            <v>Utilize_High</v>
          </cell>
          <cell r="AN34" t="str">
            <v>Utilize_High</v>
          </cell>
          <cell r="AO34" t="str">
            <v>Utilize_High</v>
          </cell>
          <cell r="AP34" t="str">
            <v>Utilize_High</v>
          </cell>
        </row>
        <row r="35">
          <cell r="A35" t="str">
            <v>SH0349-KG</v>
          </cell>
          <cell r="B35">
            <v>95.026898620899999</v>
          </cell>
          <cell r="C35" t="str">
            <v>West</v>
          </cell>
          <cell r="D35">
            <v>95.026915972500007</v>
          </cell>
          <cell r="E35" t="str">
            <v>SH0349-KG</v>
          </cell>
          <cell r="F35">
            <v>458.2809724</v>
          </cell>
          <cell r="G35">
            <v>22648.4163123</v>
          </cell>
          <cell r="H35">
            <v>18.39273829</v>
          </cell>
          <cell r="I35">
            <v>219.9441171</v>
          </cell>
          <cell r="J35">
            <v>238.3368553</v>
          </cell>
          <cell r="K35">
            <v>1.0999999999999999E-8</v>
          </cell>
          <cell r="L35">
            <v>1.0699999999999999E-6</v>
          </cell>
          <cell r="M35">
            <v>1.00000003</v>
          </cell>
          <cell r="N35">
            <v>6.82E-9</v>
          </cell>
          <cell r="O35">
            <v>1.000000019</v>
          </cell>
          <cell r="P35">
            <v>1.0999999999999999E-8</v>
          </cell>
          <cell r="Q35">
            <v>1.0699999999999999E-6</v>
          </cell>
          <cell r="R35">
            <v>1.00000003</v>
          </cell>
          <cell r="S35">
            <v>6.82E-9</v>
          </cell>
          <cell r="T35">
            <v>1.000000019</v>
          </cell>
          <cell r="U35">
            <v>1.0999999999999999E-8</v>
          </cell>
          <cell r="V35">
            <v>1.0699999999999999E-6</v>
          </cell>
          <cell r="W35">
            <v>1.00000003</v>
          </cell>
          <cell r="X35">
            <v>6.82E-9</v>
          </cell>
          <cell r="Y35">
            <v>1.000000019</v>
          </cell>
          <cell r="Z35">
            <v>1.0999999999999999E-8</v>
          </cell>
          <cell r="AA35">
            <v>1.0699999999999999E-6</v>
          </cell>
          <cell r="AB35">
            <v>1.00000003</v>
          </cell>
          <cell r="AC35">
            <v>6.82E-9</v>
          </cell>
          <cell r="AD35">
            <v>1.000000019</v>
          </cell>
          <cell r="AE35">
            <v>-0.462995565</v>
          </cell>
          <cell r="AF35">
            <v>-2.1325215910000002</v>
          </cell>
          <cell r="AG35">
            <v>-0.462370646</v>
          </cell>
          <cell r="AH35">
            <v>-2.1317265509999999</v>
          </cell>
          <cell r="AI35" t="str">
            <v>Medium</v>
          </cell>
          <cell r="AJ35" t="str">
            <v>Medium</v>
          </cell>
          <cell r="AK35" t="str">
            <v>Medium</v>
          </cell>
          <cell r="AL35" t="str">
            <v>Medium</v>
          </cell>
          <cell r="AM35" t="str">
            <v>Utilize_Low</v>
          </cell>
          <cell r="AN35" t="str">
            <v>Utilize_Low</v>
          </cell>
          <cell r="AO35" t="str">
            <v>Utilize_Low</v>
          </cell>
          <cell r="AP35" t="str">
            <v>Utilize_Low</v>
          </cell>
        </row>
        <row r="36">
          <cell r="A36" t="str">
            <v>SH0359-1</v>
          </cell>
          <cell r="B36">
            <v>44.3952689889</v>
          </cell>
          <cell r="C36" t="str">
            <v>South</v>
          </cell>
          <cell r="D36">
            <v>44.395278000499999</v>
          </cell>
          <cell r="E36" t="str">
            <v>SH0359-1</v>
          </cell>
          <cell r="F36">
            <v>2027.670664</v>
          </cell>
          <cell r="G36">
            <v>68135.744858299906</v>
          </cell>
          <cell r="H36">
            <v>1041.833478</v>
          </cell>
          <cell r="I36">
            <v>492.91859299999999</v>
          </cell>
          <cell r="J36">
            <v>1534.7520709999999</v>
          </cell>
          <cell r="K36">
            <v>1.3400000000000001E-7</v>
          </cell>
          <cell r="L36">
            <v>1.29833E-5</v>
          </cell>
          <cell r="M36">
            <v>1.0000003580000001</v>
          </cell>
          <cell r="N36">
            <v>1.4100000000000001E-7</v>
          </cell>
          <cell r="O36">
            <v>1.0000002290000001</v>
          </cell>
          <cell r="P36">
            <v>6.3100000000000003E-8</v>
          </cell>
          <cell r="Q36">
            <v>6.1299999999999998E-6</v>
          </cell>
          <cell r="R36">
            <v>1.000000169</v>
          </cell>
          <cell r="S36">
            <v>6.4799999999999998E-8</v>
          </cell>
          <cell r="T36">
            <v>1.0000001080000001</v>
          </cell>
          <cell r="U36">
            <v>8.47E-7</v>
          </cell>
          <cell r="V36">
            <v>8.2223000000000002E-5</v>
          </cell>
          <cell r="W36">
            <v>1.00000227</v>
          </cell>
          <cell r="X36">
            <v>9.0100000000000003E-7</v>
          </cell>
          <cell r="Y36">
            <v>1.0000014479999999</v>
          </cell>
          <cell r="Z36">
            <v>8.43E-9</v>
          </cell>
          <cell r="AA36">
            <v>8.1900000000000001E-7</v>
          </cell>
          <cell r="AB36">
            <v>1.0000000229999999</v>
          </cell>
          <cell r="AC36">
            <v>5.3400000000000002E-9</v>
          </cell>
          <cell r="AD36">
            <v>1.000000014</v>
          </cell>
          <cell r="AE36">
            <v>-192.94834950000001</v>
          </cell>
          <cell r="AF36">
            <v>-4.0171195080000004</v>
          </cell>
          <cell r="AG36">
            <v>-194.78344279999999</v>
          </cell>
          <cell r="AH36">
            <v>-4.3035307019999998</v>
          </cell>
          <cell r="AI36" t="str">
            <v>Medium</v>
          </cell>
          <cell r="AJ36" t="str">
            <v>Medium</v>
          </cell>
          <cell r="AK36" t="str">
            <v>Medium</v>
          </cell>
          <cell r="AL36" t="str">
            <v>Medium</v>
          </cell>
          <cell r="AM36" t="str">
            <v>Utilize_Med</v>
          </cell>
          <cell r="AN36" t="str">
            <v>Utilize_Low</v>
          </cell>
          <cell r="AO36" t="str">
            <v>Utilize_Med</v>
          </cell>
          <cell r="AP36" t="str">
            <v>Utilize_Low</v>
          </cell>
        </row>
        <row r="37">
          <cell r="A37" t="str">
            <v>SH0359-2</v>
          </cell>
          <cell r="B37">
            <v>42.901241016900002</v>
          </cell>
          <cell r="C37" t="str">
            <v>South</v>
          </cell>
          <cell r="D37">
            <v>42.901249793600002</v>
          </cell>
          <cell r="E37" t="str">
            <v>SH0359-2</v>
          </cell>
          <cell r="F37">
            <v>1233.717678</v>
          </cell>
          <cell r="G37">
            <v>41505.545772099998</v>
          </cell>
          <cell r="H37">
            <v>701.21643080000001</v>
          </cell>
          <cell r="I37">
            <v>266.25062370000001</v>
          </cell>
          <cell r="J37">
            <v>967.46705459999998</v>
          </cell>
          <cell r="K37">
            <v>6.46748E-5</v>
          </cell>
          <cell r="L37">
            <v>6.2948489999999999E-3</v>
          </cell>
          <cell r="M37">
            <v>1.0001745339999999</v>
          </cell>
          <cell r="N37">
            <v>4.0930399999999997E-5</v>
          </cell>
          <cell r="O37">
            <v>1.000111057</v>
          </cell>
          <cell r="P37">
            <v>1.0200000000000001E-5</v>
          </cell>
          <cell r="Q37">
            <v>9.9178000000000005E-4</v>
          </cell>
          <cell r="R37">
            <v>1.0000274010000001</v>
          </cell>
          <cell r="S37">
            <v>6.5400000000000001E-6</v>
          </cell>
          <cell r="T37">
            <v>1.000017471</v>
          </cell>
          <cell r="U37">
            <v>1.19702E-4</v>
          </cell>
          <cell r="V37">
            <v>1.1672572000000001E-2</v>
          </cell>
          <cell r="W37">
            <v>1.0003247129999999</v>
          </cell>
          <cell r="X37">
            <v>7.5901699999999999E-5</v>
          </cell>
          <cell r="Y37">
            <v>1.000206229</v>
          </cell>
          <cell r="Z37">
            <v>5.2300000000000003E-9</v>
          </cell>
          <cell r="AA37">
            <v>5.0800000000000005E-7</v>
          </cell>
          <cell r="AB37">
            <v>1.000000014</v>
          </cell>
          <cell r="AC37">
            <v>3.3099999999999999E-9</v>
          </cell>
          <cell r="AD37">
            <v>1.0000000090000001</v>
          </cell>
          <cell r="AE37">
            <v>-25.606326970000001</v>
          </cell>
          <cell r="AF37">
            <v>40.508376650000002</v>
          </cell>
          <cell r="AG37">
            <v>-25.61249136</v>
          </cell>
          <cell r="AH37">
            <v>40.505557170000003</v>
          </cell>
          <cell r="AI37" t="str">
            <v>Medium</v>
          </cell>
          <cell r="AJ37" t="str">
            <v>Medium</v>
          </cell>
          <cell r="AK37" t="str">
            <v>Medium</v>
          </cell>
          <cell r="AL37" t="str">
            <v>Medium</v>
          </cell>
          <cell r="AM37" t="str">
            <v>Utilize_Low</v>
          </cell>
          <cell r="AN37" t="str">
            <v>Avoid_High</v>
          </cell>
          <cell r="AO37" t="str">
            <v>Utilize_Low</v>
          </cell>
          <cell r="AP37" t="str">
            <v>Avoid_High</v>
          </cell>
        </row>
        <row r="38">
          <cell r="A38" t="str">
            <v>SH0359-3</v>
          </cell>
          <cell r="B38">
            <v>20.8341330292</v>
          </cell>
          <cell r="C38" t="str">
            <v>South</v>
          </cell>
          <cell r="D38">
            <v>20.834137292099999</v>
          </cell>
          <cell r="E38" t="str">
            <v>SH0359-3</v>
          </cell>
          <cell r="F38">
            <v>914.50816769999994</v>
          </cell>
          <cell r="G38">
            <v>18528.9951984</v>
          </cell>
          <cell r="H38">
            <v>864.20673120000004</v>
          </cell>
          <cell r="I38">
            <v>25.150718170000001</v>
          </cell>
          <cell r="J38">
            <v>889.35744939999995</v>
          </cell>
          <cell r="K38">
            <v>2.0999999999999999E-8</v>
          </cell>
          <cell r="L38">
            <v>2.03E-6</v>
          </cell>
          <cell r="M38">
            <v>1.000000056</v>
          </cell>
          <cell r="N38">
            <v>1.4100000000000001E-8</v>
          </cell>
          <cell r="O38">
            <v>1.0000000360000001</v>
          </cell>
          <cell r="P38">
            <v>0</v>
          </cell>
          <cell r="Q38">
            <v>0</v>
          </cell>
          <cell r="R38">
            <v>1</v>
          </cell>
          <cell r="S38">
            <v>0</v>
          </cell>
          <cell r="T38">
            <v>1</v>
          </cell>
          <cell r="U38">
            <v>2.0999999999999999E-8</v>
          </cell>
          <cell r="V38">
            <v>2.03E-6</v>
          </cell>
          <cell r="W38">
            <v>1.000000056</v>
          </cell>
          <cell r="X38">
            <v>1.4100000000000001E-8</v>
          </cell>
          <cell r="Y38">
            <v>1.0000000360000001</v>
          </cell>
          <cell r="Z38">
            <v>0</v>
          </cell>
          <cell r="AA38">
            <v>0</v>
          </cell>
          <cell r="AB38">
            <v>1</v>
          </cell>
          <cell r="AC38">
            <v>0</v>
          </cell>
          <cell r="AD38">
            <v>1</v>
          </cell>
          <cell r="AE38">
            <v>-32.376420570000001</v>
          </cell>
          <cell r="AF38">
            <v>7.1402765459999999</v>
          </cell>
          <cell r="AG38">
            <v>-32.371786659999998</v>
          </cell>
          <cell r="AH38">
            <v>7.1404630889999998</v>
          </cell>
          <cell r="AI38" t="str">
            <v>Medium</v>
          </cell>
          <cell r="AJ38" t="str">
            <v>Medium</v>
          </cell>
          <cell r="AK38" t="str">
            <v>Medium</v>
          </cell>
          <cell r="AL38" t="str">
            <v>Medium</v>
          </cell>
          <cell r="AM38" t="str">
            <v>Utilize_Low</v>
          </cell>
          <cell r="AN38" t="str">
            <v>Avoid_Med</v>
          </cell>
          <cell r="AO38" t="str">
            <v>Utilize_Low</v>
          </cell>
          <cell r="AP38" t="str">
            <v>Avoid_Med</v>
          </cell>
        </row>
        <row r="39">
          <cell r="A39" t="str">
            <v>SL0079-KG</v>
          </cell>
          <cell r="B39">
            <v>12.0349357255</v>
          </cell>
          <cell r="C39" t="str">
            <v>Central</v>
          </cell>
          <cell r="D39">
            <v>12.0349380129</v>
          </cell>
          <cell r="E39" t="str">
            <v>SL0079-KG</v>
          </cell>
          <cell r="F39">
            <v>7935.8697920000004</v>
          </cell>
          <cell r="G39">
            <v>84300.925849399995</v>
          </cell>
          <cell r="H39">
            <v>6073.4962329999998</v>
          </cell>
          <cell r="I39">
            <v>931.18677930000001</v>
          </cell>
          <cell r="J39">
            <v>7004.6830120000004</v>
          </cell>
          <cell r="K39">
            <v>1.3953999999999999E-7</v>
          </cell>
          <cell r="L39">
            <v>1.3549E-5</v>
          </cell>
          <cell r="M39">
            <v>1.0000003740000001</v>
          </cell>
          <cell r="N39">
            <v>1.6047000000000001E-7</v>
          </cell>
          <cell r="O39">
            <v>1.000000239</v>
          </cell>
          <cell r="P39">
            <v>0</v>
          </cell>
          <cell r="Q39">
            <v>0</v>
          </cell>
          <cell r="R39">
            <v>1</v>
          </cell>
          <cell r="S39">
            <v>0</v>
          </cell>
          <cell r="T39">
            <v>1</v>
          </cell>
          <cell r="U39">
            <v>1.4535599999999999E-6</v>
          </cell>
          <cell r="V39">
            <v>1.4114100000000001E-4</v>
          </cell>
          <cell r="W39">
            <v>1.000003897</v>
          </cell>
          <cell r="X39">
            <v>1.6715899999999999E-6</v>
          </cell>
          <cell r="Y39">
            <v>1.0000024860000001</v>
          </cell>
          <cell r="Z39">
            <v>0</v>
          </cell>
          <cell r="AA39">
            <v>0</v>
          </cell>
          <cell r="AB39">
            <v>1</v>
          </cell>
          <cell r="AC39">
            <v>0</v>
          </cell>
          <cell r="AD39">
            <v>1</v>
          </cell>
          <cell r="AE39">
            <v>-359.41669259999998</v>
          </cell>
          <cell r="AF39">
            <v>-584.73871020000001</v>
          </cell>
          <cell r="AG39">
            <v>-362.34362379999999</v>
          </cell>
          <cell r="AH39">
            <v>-584.7834944</v>
          </cell>
          <cell r="AI39" t="str">
            <v>Medium</v>
          </cell>
          <cell r="AJ39" t="str">
            <v>Low</v>
          </cell>
          <cell r="AK39" t="str">
            <v>Medium</v>
          </cell>
          <cell r="AL39" t="str">
            <v>Low</v>
          </cell>
          <cell r="AM39" t="str">
            <v>Utilize_Med</v>
          </cell>
          <cell r="AN39" t="str">
            <v>Utilize_High</v>
          </cell>
          <cell r="AO39" t="str">
            <v>Utilize_Med</v>
          </cell>
          <cell r="AP39" t="str">
            <v>Utilize_High</v>
          </cell>
        </row>
        <row r="40">
          <cell r="A40" t="str">
            <v>SL0195-F</v>
          </cell>
          <cell r="B40">
            <v>16.0307517201</v>
          </cell>
          <cell r="C40" t="str">
            <v>South</v>
          </cell>
          <cell r="D40">
            <v>16.030755022499999</v>
          </cell>
          <cell r="E40" t="str">
            <v>SL0195-F</v>
          </cell>
          <cell r="F40">
            <v>6365.76343</v>
          </cell>
          <cell r="G40">
            <v>126109.1384</v>
          </cell>
          <cell r="H40">
            <v>5371.2190629999996</v>
          </cell>
          <cell r="I40">
            <v>497.27218299999998</v>
          </cell>
          <cell r="J40">
            <v>5868.4912469999999</v>
          </cell>
          <cell r="K40">
            <v>0</v>
          </cell>
          <cell r="L40">
            <v>4.3000000000000002E-5</v>
          </cell>
          <cell r="M40">
            <v>1.0000009999999999</v>
          </cell>
          <cell r="N40">
            <v>9.9999999999999995E-7</v>
          </cell>
          <cell r="O40">
            <v>1.0000009999999999</v>
          </cell>
          <cell r="P40">
            <v>0</v>
          </cell>
          <cell r="Q40">
            <v>1.0000000000000001E-5</v>
          </cell>
          <cell r="R40">
            <v>1</v>
          </cell>
          <cell r="S40">
            <v>0</v>
          </cell>
          <cell r="T40">
            <v>1</v>
          </cell>
          <cell r="U40">
            <v>9.9999999999999995E-7</v>
          </cell>
          <cell r="V40">
            <v>1.06E-4</v>
          </cell>
          <cell r="W40">
            <v>1.000003</v>
          </cell>
          <cell r="X40">
            <v>9.9999999999999995E-7</v>
          </cell>
          <cell r="Y40">
            <v>1.0000020000000001</v>
          </cell>
          <cell r="Z40">
            <v>0</v>
          </cell>
          <cell r="AA40">
            <v>0</v>
          </cell>
          <cell r="AB40">
            <v>1</v>
          </cell>
          <cell r="AC40">
            <v>0</v>
          </cell>
          <cell r="AD40">
            <v>1</v>
          </cell>
          <cell r="AE40">
            <v>-82.604555000000005</v>
          </cell>
          <cell r="AF40">
            <v>-88.630559000000005</v>
          </cell>
          <cell r="AG40">
            <v>-81.347494999999995</v>
          </cell>
          <cell r="AH40">
            <v>-88.191248999999999</v>
          </cell>
          <cell r="AI40" t="str">
            <v>Medium</v>
          </cell>
          <cell r="AJ40" t="str">
            <v>Low</v>
          </cell>
          <cell r="AK40" t="str">
            <v>Medium</v>
          </cell>
          <cell r="AL40" t="str">
            <v>Low</v>
          </cell>
          <cell r="AM40" t="str">
            <v>Utilize_Med</v>
          </cell>
          <cell r="AN40" t="str">
            <v>Utilize_High</v>
          </cell>
          <cell r="AO40" t="str">
            <v>Utilize_Med</v>
          </cell>
          <cell r="AP40" t="str">
            <v>Utilize_High</v>
          </cell>
        </row>
        <row r="41">
          <cell r="A41" t="str">
            <v>SL0480-F</v>
          </cell>
          <cell r="B41">
            <v>6.5691873898299997</v>
          </cell>
          <cell r="C41" t="str">
            <v>Central</v>
          </cell>
          <cell r="D41">
            <v>6.5691886646900004</v>
          </cell>
          <cell r="E41" t="str">
            <v>SL0480-F</v>
          </cell>
          <cell r="F41">
            <v>3115.1730819999998</v>
          </cell>
          <cell r="G41">
            <v>37764.467660000002</v>
          </cell>
          <cell r="H41">
            <v>1596.328978</v>
          </cell>
          <cell r="I41">
            <v>759.42205200000001</v>
          </cell>
          <cell r="J41">
            <v>2355.7510299999999</v>
          </cell>
          <cell r="K41">
            <v>0</v>
          </cell>
          <cell r="L41">
            <v>0</v>
          </cell>
          <cell r="M41">
            <v>1</v>
          </cell>
          <cell r="N41">
            <v>0</v>
          </cell>
          <cell r="O41">
            <v>1</v>
          </cell>
          <cell r="P41">
            <v>0</v>
          </cell>
          <cell r="Q41">
            <v>0</v>
          </cell>
          <cell r="R41">
            <v>1</v>
          </cell>
          <cell r="S41">
            <v>0</v>
          </cell>
          <cell r="T41">
            <v>1</v>
          </cell>
          <cell r="U41">
            <v>9.9999999999999995E-7</v>
          </cell>
          <cell r="V41">
            <v>8.5000000000000006E-5</v>
          </cell>
          <cell r="W41">
            <v>1.0000020000000001</v>
          </cell>
          <cell r="X41">
            <v>9.9999999999999995E-7</v>
          </cell>
          <cell r="Y41">
            <v>1.0000009999999999</v>
          </cell>
          <cell r="Z41">
            <v>0</v>
          </cell>
          <cell r="AA41">
            <v>0</v>
          </cell>
          <cell r="AB41">
            <v>1</v>
          </cell>
          <cell r="AC41">
            <v>0</v>
          </cell>
          <cell r="AD41">
            <v>1</v>
          </cell>
          <cell r="AE41">
            <v>-104.36756099999999</v>
          </cell>
          <cell r="AF41">
            <v>-524.20683699999995</v>
          </cell>
          <cell r="AG41">
            <v>-104.35246600000001</v>
          </cell>
          <cell r="AH41">
            <v>-524.20610199999999</v>
          </cell>
          <cell r="AI41" t="str">
            <v>Medium</v>
          </cell>
          <cell r="AJ41" t="str">
            <v>Low</v>
          </cell>
          <cell r="AK41" t="str">
            <v>Medium</v>
          </cell>
          <cell r="AL41" t="str">
            <v>Low</v>
          </cell>
          <cell r="AM41" t="str">
            <v>Utilize_Med</v>
          </cell>
          <cell r="AN41" t="str">
            <v>Utilize_High</v>
          </cell>
          <cell r="AO41" t="str">
            <v>Utilize_Med</v>
          </cell>
          <cell r="AP41" t="str">
            <v>Utilize_High</v>
          </cell>
        </row>
        <row r="42">
          <cell r="A42" t="str">
            <v>SL0480-KG</v>
          </cell>
          <cell r="B42">
            <v>21.489188390100001</v>
          </cell>
          <cell r="C42" t="str">
            <v>Central</v>
          </cell>
          <cell r="D42">
            <v>21.489192556500001</v>
          </cell>
          <cell r="E42" t="str">
            <v>SL0480-KG</v>
          </cell>
          <cell r="F42">
            <v>1504.004891</v>
          </cell>
          <cell r="G42">
            <v>8272.9409319999995</v>
          </cell>
          <cell r="H42">
            <v>1014.705213</v>
          </cell>
          <cell r="I42">
            <v>244.64983899999999</v>
          </cell>
          <cell r="J42">
            <v>1259.355051</v>
          </cell>
          <cell r="K42">
            <v>0</v>
          </cell>
          <cell r="L42">
            <v>0</v>
          </cell>
          <cell r="M42">
            <v>1</v>
          </cell>
          <cell r="N42">
            <v>0</v>
          </cell>
          <cell r="O42">
            <v>1</v>
          </cell>
          <cell r="P42">
            <v>0</v>
          </cell>
          <cell r="Q42">
            <v>0</v>
          </cell>
          <cell r="R42">
            <v>1</v>
          </cell>
          <cell r="S42">
            <v>0</v>
          </cell>
          <cell r="T42">
            <v>1</v>
          </cell>
          <cell r="U42">
            <v>0</v>
          </cell>
          <cell r="V42">
            <v>2.4000000000000001E-5</v>
          </cell>
          <cell r="W42">
            <v>1.0000009999999999</v>
          </cell>
          <cell r="X42">
            <v>0</v>
          </cell>
          <cell r="Y42">
            <v>1</v>
          </cell>
          <cell r="Z42">
            <v>0</v>
          </cell>
          <cell r="AA42">
            <v>0</v>
          </cell>
          <cell r="AB42">
            <v>1</v>
          </cell>
          <cell r="AC42">
            <v>0</v>
          </cell>
          <cell r="AD42">
            <v>1</v>
          </cell>
          <cell r="AE42">
            <v>-456.64065399999998</v>
          </cell>
          <cell r="AF42">
            <v>-147.20465100000001</v>
          </cell>
          <cell r="AG42">
            <v>-456.66829799999999</v>
          </cell>
          <cell r="AH42">
            <v>-147.20744500000001</v>
          </cell>
          <cell r="AI42" t="str">
            <v>Medium</v>
          </cell>
          <cell r="AJ42" t="str">
            <v>Low</v>
          </cell>
          <cell r="AK42" t="str">
            <v>Medium</v>
          </cell>
          <cell r="AL42" t="str">
            <v>Low</v>
          </cell>
          <cell r="AM42" t="str">
            <v>Utilize_Med</v>
          </cell>
          <cell r="AN42" t="str">
            <v>Utilize_High</v>
          </cell>
          <cell r="AO42" t="str">
            <v>Utilize_Med</v>
          </cell>
          <cell r="AP42" t="str">
            <v>Utilize_High</v>
          </cell>
        </row>
        <row r="43">
          <cell r="A43" t="str">
            <v>US0057-KG</v>
          </cell>
          <cell r="B43">
            <v>97.960131788799998</v>
          </cell>
          <cell r="C43" t="str">
            <v>Central</v>
          </cell>
          <cell r="D43">
            <v>97.960150915499995</v>
          </cell>
          <cell r="E43" t="str">
            <v>US0057-KG</v>
          </cell>
          <cell r="F43">
            <v>3514.428015</v>
          </cell>
          <cell r="G43">
            <v>318701.40015900001</v>
          </cell>
          <cell r="H43">
            <v>2992.3279929999999</v>
          </cell>
          <cell r="I43">
            <v>261.05001099999998</v>
          </cell>
          <cell r="J43">
            <v>3253.3780040000001</v>
          </cell>
          <cell r="K43">
            <v>1.5903400000000001E-4</v>
          </cell>
          <cell r="L43">
            <v>1.5589019000000001E-2</v>
          </cell>
          <cell r="M43">
            <v>1.0004377120000001</v>
          </cell>
          <cell r="N43">
            <v>1.1237400000000001E-4</v>
          </cell>
          <cell r="O43">
            <v>1.0002765280000001</v>
          </cell>
          <cell r="P43">
            <v>1.4091099999999999E-4</v>
          </cell>
          <cell r="Q43">
            <v>1.3892071000000001E-2</v>
          </cell>
          <cell r="R43">
            <v>1.000394126</v>
          </cell>
          <cell r="S43">
            <v>1.16069E-4</v>
          </cell>
          <cell r="T43">
            <v>1.000247522</v>
          </cell>
          <cell r="U43">
            <v>3.5346599999999998E-4</v>
          </cell>
          <cell r="V43">
            <v>3.4856864000000001E-2</v>
          </cell>
          <cell r="W43">
            <v>1.0009893050000001</v>
          </cell>
          <cell r="X43">
            <v>2.7270300000000001E-4</v>
          </cell>
          <cell r="Y43">
            <v>1.000621177</v>
          </cell>
          <cell r="Z43">
            <v>7.6400000000000001E-7</v>
          </cell>
          <cell r="AA43">
            <v>7.4200000000000001E-5</v>
          </cell>
          <cell r="AB43">
            <v>1.0000020489999999</v>
          </cell>
          <cell r="AC43">
            <v>6.6899999999999997E-7</v>
          </cell>
          <cell r="AD43">
            <v>1.000001307</v>
          </cell>
          <cell r="AE43">
            <v>-170.3541903</v>
          </cell>
          <cell r="AF43">
            <v>6.9513580929999996</v>
          </cell>
          <cell r="AG43">
            <v>-170.26496789999999</v>
          </cell>
          <cell r="AH43">
            <v>7.0101029869999998</v>
          </cell>
          <cell r="AI43" t="str">
            <v>Medium</v>
          </cell>
          <cell r="AJ43" t="str">
            <v>Medium</v>
          </cell>
          <cell r="AK43" t="str">
            <v>Medium</v>
          </cell>
          <cell r="AL43" t="str">
            <v>Medium</v>
          </cell>
          <cell r="AM43" t="str">
            <v>Utilize_Med</v>
          </cell>
          <cell r="AN43" t="str">
            <v>Avoid_Med</v>
          </cell>
          <cell r="AO43" t="str">
            <v>Utilize_Med</v>
          </cell>
          <cell r="AP43" t="str">
            <v>Avoid_Med</v>
          </cell>
        </row>
        <row r="44">
          <cell r="A44" t="str">
            <v>US0059-KG</v>
          </cell>
          <cell r="B44">
            <v>107.274382186</v>
          </cell>
          <cell r="C44" t="str">
            <v>South</v>
          </cell>
          <cell r="D44">
            <v>107.274403901</v>
          </cell>
          <cell r="E44" t="str">
            <v>US0059-KG</v>
          </cell>
          <cell r="F44">
            <v>4344.3172100000002</v>
          </cell>
          <cell r="G44">
            <v>326358.83636199898</v>
          </cell>
          <cell r="H44">
            <v>1740.2439629999999</v>
          </cell>
          <cell r="I44">
            <v>1302.036623</v>
          </cell>
          <cell r="J44">
            <v>3042.2805870000002</v>
          </cell>
          <cell r="K44">
            <v>4.9016999999999995E-4</v>
          </cell>
          <cell r="L44">
            <v>4.8064475000000002E-2</v>
          </cell>
          <cell r="M44">
            <v>1.0013503610000001</v>
          </cell>
          <cell r="N44">
            <v>5.3948699999999995E-4</v>
          </cell>
          <cell r="O44">
            <v>1.0008528160000001</v>
          </cell>
          <cell r="P44">
            <v>1.52E-5</v>
          </cell>
          <cell r="Q44">
            <v>1.4721809999999999E-3</v>
          </cell>
          <cell r="R44">
            <v>1.000040668</v>
          </cell>
          <cell r="S44">
            <v>1.7E-5</v>
          </cell>
          <cell r="T44">
            <v>1.000025932</v>
          </cell>
          <cell r="U44">
            <v>4.8819400000000001E-4</v>
          </cell>
          <cell r="V44">
            <v>4.7778584999999998E-2</v>
          </cell>
          <cell r="W44">
            <v>1.001337742</v>
          </cell>
          <cell r="X44">
            <v>5.2615300000000002E-4</v>
          </cell>
          <cell r="Y44">
            <v>1.0008464939999999</v>
          </cell>
          <cell r="Z44">
            <v>2.6700000000000001E-8</v>
          </cell>
          <cell r="AA44">
            <v>2.5900000000000002E-6</v>
          </cell>
          <cell r="AB44">
            <v>1.000000072</v>
          </cell>
          <cell r="AC44">
            <v>2.85E-8</v>
          </cell>
          <cell r="AD44">
            <v>1.000000046</v>
          </cell>
          <cell r="AE44">
            <v>-98.426833049999999</v>
          </cell>
          <cell r="AF44">
            <v>-422.49703899999997</v>
          </cell>
          <cell r="AG44">
            <v>-98.469629879999999</v>
          </cell>
          <cell r="AH44">
            <v>-423.08643979999999</v>
          </cell>
          <cell r="AI44" t="str">
            <v>Medium</v>
          </cell>
          <cell r="AJ44" t="str">
            <v>Low</v>
          </cell>
          <cell r="AK44" t="str">
            <v>Medium</v>
          </cell>
          <cell r="AL44" t="str">
            <v>Low</v>
          </cell>
          <cell r="AM44" t="str">
            <v>Utilize_Med</v>
          </cell>
          <cell r="AN44" t="str">
            <v>Utilize_High</v>
          </cell>
          <cell r="AO44" t="str">
            <v>Utilize_Med</v>
          </cell>
          <cell r="AP44" t="str">
            <v>Utilize_High</v>
          </cell>
        </row>
        <row r="45">
          <cell r="A45" t="str">
            <v>US0062-KG</v>
          </cell>
          <cell r="B45">
            <v>114.62000684900001</v>
          </cell>
          <cell r="C45" t="str">
            <v>West</v>
          </cell>
          <cell r="D45">
            <v>114.620026693</v>
          </cell>
          <cell r="E45" t="str">
            <v>US0062-KG</v>
          </cell>
          <cell r="F45">
            <v>5301.4142879999999</v>
          </cell>
          <cell r="G45">
            <v>602413.63803699904</v>
          </cell>
          <cell r="H45">
            <v>5210.0758139999998</v>
          </cell>
          <cell r="I45">
            <v>45.66923705</v>
          </cell>
          <cell r="J45">
            <v>5255.7450509999999</v>
          </cell>
          <cell r="K45">
            <v>4.7500000000000001E-2</v>
          </cell>
          <cell r="L45">
            <v>17.86917944</v>
          </cell>
          <cell r="M45">
            <v>14.78159174</v>
          </cell>
          <cell r="N45">
            <v>4.3200000000000001E-3</v>
          </cell>
          <cell r="O45">
            <v>2.2012979420000001</v>
          </cell>
          <cell r="P45">
            <v>8.5800000000000008E-3</v>
          </cell>
          <cell r="Q45">
            <v>1.0611319100000001</v>
          </cell>
          <cell r="R45">
            <v>1.0471383869999999</v>
          </cell>
          <cell r="S45">
            <v>3.5100000000000001E-3</v>
          </cell>
          <cell r="T45">
            <v>1.0227762389999999</v>
          </cell>
          <cell r="U45">
            <v>1.9E-2</v>
          </cell>
          <cell r="V45">
            <v>0.25059373600000001</v>
          </cell>
          <cell r="W45">
            <v>1.0988728240000001</v>
          </cell>
          <cell r="X45">
            <v>8.4899999999999993E-3</v>
          </cell>
          <cell r="Y45">
            <v>1.0485631230000001</v>
          </cell>
          <cell r="Z45">
            <v>1.33E-5</v>
          </cell>
          <cell r="AA45">
            <v>4.4400000000000002E-5</v>
          </cell>
          <cell r="AB45">
            <v>1.0000357559999999</v>
          </cell>
          <cell r="AC45">
            <v>1.2300000000000001E-5</v>
          </cell>
          <cell r="AD45">
            <v>1.0000228010000001</v>
          </cell>
          <cell r="AE45">
            <v>-101.0996178</v>
          </cell>
          <cell r="AF45">
            <v>8.3721596369999993</v>
          </cell>
          <cell r="AG45">
            <v>-93.769029950000004</v>
          </cell>
          <cell r="AH45">
            <v>8.6886702319999998</v>
          </cell>
          <cell r="AI45" t="str">
            <v>Medium</v>
          </cell>
          <cell r="AJ45" t="str">
            <v>Medium</v>
          </cell>
          <cell r="AK45" t="str">
            <v>Medium</v>
          </cell>
          <cell r="AL45" t="str">
            <v>Medium</v>
          </cell>
          <cell r="AM45" t="str">
            <v>Utilize_Med</v>
          </cell>
          <cell r="AN45" t="str">
            <v>Avoid_Med</v>
          </cell>
          <cell r="AO45" t="str">
            <v>Utilize_Med</v>
          </cell>
          <cell r="AP45" t="str">
            <v>Avoid_Med</v>
          </cell>
        </row>
        <row r="46">
          <cell r="A46" t="str">
            <v>US0067/90-</v>
          </cell>
          <cell r="B46">
            <v>34.463288233299998</v>
          </cell>
          <cell r="C46" t="str">
            <v>West</v>
          </cell>
          <cell r="D46">
            <v>34.463294333100002</v>
          </cell>
          <cell r="E46" t="str">
            <v>US0067-KG</v>
          </cell>
          <cell r="F46">
            <v>2011.9030230000001</v>
          </cell>
          <cell r="G46">
            <v>60957.525989399997</v>
          </cell>
          <cell r="H46">
            <v>1525.630296</v>
          </cell>
          <cell r="I46">
            <v>243.1363633</v>
          </cell>
          <cell r="J46">
            <v>1768.76666</v>
          </cell>
          <cell r="K46">
            <v>9.3800000000000006E-8</v>
          </cell>
          <cell r="L46">
            <v>9.1099999999999992E-6</v>
          </cell>
          <cell r="M46">
            <v>1.000000252</v>
          </cell>
          <cell r="N46">
            <v>8.4999999999999994E-8</v>
          </cell>
          <cell r="O46">
            <v>1.0000001599999999</v>
          </cell>
          <cell r="P46">
            <v>9.2700000000000003E-8</v>
          </cell>
          <cell r="Q46">
            <v>9.0000000000000002E-6</v>
          </cell>
          <cell r="R46">
            <v>1.000000249</v>
          </cell>
          <cell r="S46">
            <v>8.0000000000000002E-8</v>
          </cell>
          <cell r="T46">
            <v>1.0000001590000001</v>
          </cell>
          <cell r="U46">
            <v>7.5799999999999998E-7</v>
          </cell>
          <cell r="V46">
            <v>7.36E-5</v>
          </cell>
          <cell r="W46">
            <v>1.0000020329999999</v>
          </cell>
          <cell r="X46">
            <v>6.75E-7</v>
          </cell>
          <cell r="Y46">
            <v>1.0000012970000001</v>
          </cell>
          <cell r="Z46">
            <v>1.39E-8</v>
          </cell>
          <cell r="AA46">
            <v>1.35E-6</v>
          </cell>
          <cell r="AB46">
            <v>1.000000037</v>
          </cell>
          <cell r="AC46">
            <v>1.2499999999999999E-8</v>
          </cell>
          <cell r="AD46">
            <v>1.000000024</v>
          </cell>
          <cell r="AE46">
            <v>-6.1936643929999997</v>
          </cell>
          <cell r="AF46">
            <v>-0.14513683899999999</v>
          </cell>
          <cell r="AG46">
            <v>-6.1929720970000002</v>
          </cell>
          <cell r="AH46">
            <v>-0.143441978</v>
          </cell>
          <cell r="AI46" t="str">
            <v>Medium</v>
          </cell>
          <cell r="AJ46" t="str">
            <v>Medium</v>
          </cell>
          <cell r="AK46" t="str">
            <v>Medium</v>
          </cell>
          <cell r="AL46" t="str">
            <v>Medium</v>
          </cell>
          <cell r="AM46" t="str">
            <v>Utilize_Low</v>
          </cell>
          <cell r="AN46" t="str">
            <v>Utilize_Low</v>
          </cell>
          <cell r="AO46" t="str">
            <v>Utilize_Low</v>
          </cell>
          <cell r="AP46" t="str">
            <v>Utilize_Low</v>
          </cell>
        </row>
        <row r="47">
          <cell r="A47" t="str">
            <v>US0067-KG</v>
          </cell>
          <cell r="B47">
            <v>168.085317269</v>
          </cell>
          <cell r="C47" t="str">
            <v>West</v>
          </cell>
          <cell r="D47">
            <v>168.085347442</v>
          </cell>
          <cell r="E47" t="str">
            <v>US0067/90-</v>
          </cell>
          <cell r="F47">
            <v>1935.459243</v>
          </cell>
          <cell r="G47">
            <v>315011.11527399899</v>
          </cell>
          <cell r="H47">
            <v>1812.768906</v>
          </cell>
          <cell r="I47">
            <v>61.345168489999999</v>
          </cell>
          <cell r="J47">
            <v>1874.1140740000001</v>
          </cell>
          <cell r="K47">
            <v>4.5899999999999998E-5</v>
          </cell>
          <cell r="L47">
            <v>4.4699379999999997E-3</v>
          </cell>
          <cell r="M47">
            <v>1.0001240440000001</v>
          </cell>
          <cell r="N47">
            <v>3.3300000000000003E-5</v>
          </cell>
          <cell r="O47">
            <v>1.000078891</v>
          </cell>
          <cell r="P47">
            <v>2.26E-5</v>
          </cell>
          <cell r="Q47">
            <v>2.1973869999999999E-3</v>
          </cell>
          <cell r="R47">
            <v>1.000060822</v>
          </cell>
          <cell r="S47">
            <v>1.6500000000000001E-5</v>
          </cell>
          <cell r="T47">
            <v>1.0000387390000001</v>
          </cell>
          <cell r="U47">
            <v>9.2248699999999997E-5</v>
          </cell>
          <cell r="V47">
            <v>9.0092049999999993E-3</v>
          </cell>
          <cell r="W47">
            <v>1.0002512990000001</v>
          </cell>
          <cell r="X47">
            <v>6.6299999999999999E-5</v>
          </cell>
          <cell r="Y47">
            <v>1.0001593580000001</v>
          </cell>
          <cell r="Z47">
            <v>6.1200000000000005E-8</v>
          </cell>
          <cell r="AA47">
            <v>5.9399999999999999E-6</v>
          </cell>
          <cell r="AB47">
            <v>1.000000164</v>
          </cell>
          <cell r="AC47">
            <v>5.2899999999999997E-8</v>
          </cell>
          <cell r="AD47">
            <v>1.000000105</v>
          </cell>
          <cell r="AE47">
            <v>-14.279730430000001</v>
          </cell>
          <cell r="AF47">
            <v>4.0752260600000003</v>
          </cell>
          <cell r="AG47">
            <v>-14.27966722</v>
          </cell>
          <cell r="AH47">
            <v>4.0752270849999999</v>
          </cell>
          <cell r="AI47" t="str">
            <v>Medium</v>
          </cell>
          <cell r="AJ47" t="str">
            <v>Medium</v>
          </cell>
          <cell r="AK47" t="str">
            <v>Medium</v>
          </cell>
          <cell r="AL47" t="str">
            <v>Medium</v>
          </cell>
          <cell r="AM47" t="str">
            <v>Utilize_Low</v>
          </cell>
          <cell r="AN47" t="str">
            <v>Avoid_Low</v>
          </cell>
          <cell r="AO47" t="str">
            <v>Utilize_Low</v>
          </cell>
          <cell r="AP47" t="str">
            <v>Avoid_Low</v>
          </cell>
        </row>
        <row r="48">
          <cell r="A48" t="str">
            <v>US0083-3</v>
          </cell>
          <cell r="B48">
            <v>190.60522290099999</v>
          </cell>
          <cell r="C48" t="str">
            <v>Central</v>
          </cell>
          <cell r="D48">
            <v>190.60525983900001</v>
          </cell>
          <cell r="E48" t="str">
            <v>US0083-3</v>
          </cell>
          <cell r="F48">
            <v>8624.7888980000007</v>
          </cell>
          <cell r="G48">
            <v>953098.33197199902</v>
          </cell>
          <cell r="H48">
            <v>1375.966934</v>
          </cell>
          <cell r="I48">
            <v>3624.4109819999999</v>
          </cell>
          <cell r="J48">
            <v>5000.3779160000004</v>
          </cell>
          <cell r="K48">
            <v>2.5137879999999999E-3</v>
          </cell>
          <cell r="L48">
            <v>0.25785979399999998</v>
          </cell>
          <cell r="M48">
            <v>1.0078858310000001</v>
          </cell>
          <cell r="N48">
            <v>2.307393E-3</v>
          </cell>
          <cell r="O48">
            <v>1.0047419609999999</v>
          </cell>
          <cell r="P48">
            <v>2.1692700000000001E-4</v>
          </cell>
          <cell r="Q48">
            <v>2.1244236999999999E-2</v>
          </cell>
          <cell r="R48">
            <v>1.000595511</v>
          </cell>
          <cell r="S48">
            <v>2.34873E-4</v>
          </cell>
          <cell r="T48">
            <v>1.000376575</v>
          </cell>
          <cell r="U48">
            <v>1.4350976E-2</v>
          </cell>
          <cell r="V48">
            <v>1.7051429659999999</v>
          </cell>
          <cell r="W48">
            <v>1.0714380210000001</v>
          </cell>
          <cell r="X48">
            <v>8.3880380000000004E-3</v>
          </cell>
          <cell r="Y48">
            <v>1.0356051690000001</v>
          </cell>
          <cell r="Z48">
            <v>1.8300000000000001E-7</v>
          </cell>
          <cell r="AA48">
            <v>1.77E-5</v>
          </cell>
          <cell r="AB48">
            <v>1.0000004899999999</v>
          </cell>
          <cell r="AC48">
            <v>2.04E-7</v>
          </cell>
          <cell r="AD48">
            <v>1.0000003120000001</v>
          </cell>
          <cell r="AE48">
            <v>-47.192609320000003</v>
          </cell>
          <cell r="AF48">
            <v>-2361.3512300000002</v>
          </cell>
          <cell r="AG48">
            <v>-47.470132630000002</v>
          </cell>
          <cell r="AH48">
            <v>-2361.6333479999998</v>
          </cell>
          <cell r="AI48" t="str">
            <v>Medium</v>
          </cell>
          <cell r="AJ48" t="str">
            <v>Low</v>
          </cell>
          <cell r="AK48" t="str">
            <v>Medium</v>
          </cell>
          <cell r="AL48" t="str">
            <v>Low</v>
          </cell>
          <cell r="AM48" t="str">
            <v>Utilize_Low</v>
          </cell>
          <cell r="AN48" t="str">
            <v>Utilize_High</v>
          </cell>
          <cell r="AO48" t="str">
            <v>Utilize_Low</v>
          </cell>
          <cell r="AP48" t="str">
            <v>Utilize_High</v>
          </cell>
        </row>
        <row r="49">
          <cell r="A49" t="str">
            <v>US0083-2</v>
          </cell>
          <cell r="B49">
            <v>32.809901076199999</v>
          </cell>
          <cell r="C49" t="str">
            <v>South</v>
          </cell>
          <cell r="D49">
            <v>32.809907631999998</v>
          </cell>
          <cell r="E49" t="str">
            <v>US0083-2</v>
          </cell>
          <cell r="F49">
            <v>12098.222739999999</v>
          </cell>
          <cell r="G49">
            <v>220723.723184</v>
          </cell>
          <cell r="H49">
            <v>1356.4767139999999</v>
          </cell>
          <cell r="I49">
            <v>5370.8730139999998</v>
          </cell>
          <cell r="J49">
            <v>6727.3497280000001</v>
          </cell>
          <cell r="K49">
            <v>5.4200000000000003E-5</v>
          </cell>
          <cell r="L49">
            <v>5.2599999999999999E-3</v>
          </cell>
          <cell r="M49">
            <v>1.000145321</v>
          </cell>
          <cell r="N49">
            <v>4.4400000000000002E-5</v>
          </cell>
          <cell r="O49">
            <v>1.0000926729999999</v>
          </cell>
          <cell r="P49">
            <v>4.1800000000000001E-7</v>
          </cell>
          <cell r="Q49">
            <v>4.0599999999999998E-5</v>
          </cell>
          <cell r="R49">
            <v>1.000001122</v>
          </cell>
          <cell r="S49">
            <v>3.53E-7</v>
          </cell>
          <cell r="T49">
            <v>1.000000716</v>
          </cell>
          <cell r="U49">
            <v>1.5200000000000001E-3</v>
          </cell>
          <cell r="V49">
            <v>0.14799999999999999</v>
          </cell>
          <cell r="W49">
            <v>1.004113936</v>
          </cell>
          <cell r="X49">
            <v>1.23E-3</v>
          </cell>
          <cell r="Y49">
            <v>1.002612112</v>
          </cell>
          <cell r="Z49">
            <v>0</v>
          </cell>
          <cell r="AA49">
            <v>0</v>
          </cell>
          <cell r="AB49">
            <v>1</v>
          </cell>
          <cell r="AC49">
            <v>0</v>
          </cell>
          <cell r="AD49">
            <v>1</v>
          </cell>
          <cell r="AE49">
            <v>-80.276567749999998</v>
          </cell>
          <cell r="AF49">
            <v>-2554.9910690000002</v>
          </cell>
          <cell r="AG49">
            <v>-80.296251870000006</v>
          </cell>
          <cell r="AH49">
            <v>-2555.6466099999998</v>
          </cell>
          <cell r="AI49" t="str">
            <v>Medium</v>
          </cell>
          <cell r="AJ49" t="str">
            <v>Low</v>
          </cell>
          <cell r="AK49" t="str">
            <v>Medium</v>
          </cell>
          <cell r="AL49" t="str">
            <v>Low</v>
          </cell>
          <cell r="AM49" t="str">
            <v>Utilize_Med</v>
          </cell>
          <cell r="AN49" t="str">
            <v>Utilize_High</v>
          </cell>
          <cell r="AO49" t="str">
            <v>Utilize_Med</v>
          </cell>
          <cell r="AP49" t="str">
            <v>Utilize_High</v>
          </cell>
        </row>
        <row r="50">
          <cell r="A50" t="str">
            <v>US0083-1</v>
          </cell>
          <cell r="B50">
            <v>108.143126791</v>
          </cell>
          <cell r="C50" t="str">
            <v>South</v>
          </cell>
          <cell r="D50">
            <v>108.143148946</v>
          </cell>
          <cell r="E50" t="str">
            <v>US0083-1</v>
          </cell>
          <cell r="F50">
            <v>10048.442010000001</v>
          </cell>
          <cell r="G50">
            <v>929763.40955500002</v>
          </cell>
          <cell r="H50">
            <v>7146.6076750000002</v>
          </cell>
          <cell r="I50">
            <v>1450.9171670000001</v>
          </cell>
          <cell r="J50">
            <v>8597.5248420000007</v>
          </cell>
          <cell r="K50">
            <v>7.2675179999999997E-3</v>
          </cell>
          <cell r="L50">
            <v>0.81282487599999997</v>
          </cell>
          <cell r="M50">
            <v>1.03156531</v>
          </cell>
          <cell r="N50">
            <v>5.0232970000000004E-3</v>
          </cell>
          <cell r="O50">
            <v>1.0163263549999999</v>
          </cell>
          <cell r="P50">
            <v>2.8408449999999998E-3</v>
          </cell>
          <cell r="Q50">
            <v>0.30108190099999999</v>
          </cell>
          <cell r="R50">
            <v>1.0099569770000001</v>
          </cell>
          <cell r="S50">
            <v>2.1169959999999999E-3</v>
          </cell>
          <cell r="T50">
            <v>1.005707677</v>
          </cell>
          <cell r="U50">
            <v>9.5985770000000005E-3</v>
          </cell>
          <cell r="V50">
            <v>1.1099372009999999</v>
          </cell>
          <cell r="W50">
            <v>1.0481320059999999</v>
          </cell>
          <cell r="X50">
            <v>6.3372530000000002E-3</v>
          </cell>
          <cell r="Y50">
            <v>1.023166826</v>
          </cell>
          <cell r="Z50">
            <v>3.5099999999999999E-6</v>
          </cell>
          <cell r="AA50">
            <v>3.4040299999999997E-4</v>
          </cell>
          <cell r="AB50">
            <v>1.000009401</v>
          </cell>
          <cell r="AC50">
            <v>3.2799999999999999E-6</v>
          </cell>
          <cell r="AD50">
            <v>1.000005995</v>
          </cell>
          <cell r="AE50">
            <v>263.5903088</v>
          </cell>
          <cell r="AF50">
            <v>150.76312849999999</v>
          </cell>
          <cell r="AG50">
            <v>266.14317849999998</v>
          </cell>
          <cell r="AH50">
            <v>152.08911549999999</v>
          </cell>
          <cell r="AI50" t="str">
            <v>High</v>
          </cell>
          <cell r="AJ50" t="str">
            <v>High</v>
          </cell>
          <cell r="AK50" t="str">
            <v>High</v>
          </cell>
          <cell r="AL50" t="str">
            <v>High</v>
          </cell>
          <cell r="AM50" t="str">
            <v>Avoid_High</v>
          </cell>
          <cell r="AN50" t="str">
            <v>Avoid_High</v>
          </cell>
          <cell r="AO50" t="str">
            <v>Avoid_High</v>
          </cell>
          <cell r="AP50" t="str">
            <v>Avoid_High</v>
          </cell>
        </row>
        <row r="51">
          <cell r="A51" t="str">
            <v>US0090-1</v>
          </cell>
          <cell r="B51">
            <v>206.581413717</v>
          </cell>
          <cell r="C51" t="str">
            <v>Central</v>
          </cell>
          <cell r="D51">
            <v>206.58145323799999</v>
          </cell>
          <cell r="E51" t="str">
            <v>US0090-1</v>
          </cell>
          <cell r="F51">
            <v>7740.2925310000001</v>
          </cell>
          <cell r="G51">
            <v>1461445.2113399899</v>
          </cell>
          <cell r="H51">
            <v>6408.5595409999996</v>
          </cell>
          <cell r="I51">
            <v>665.86649480000005</v>
          </cell>
          <cell r="J51">
            <v>7074.4260359999998</v>
          </cell>
          <cell r="K51">
            <v>4.4273450000000001E-3</v>
          </cell>
          <cell r="L51">
            <v>0.45661078700000002</v>
          </cell>
          <cell r="M51">
            <v>1.014088874</v>
          </cell>
          <cell r="N51">
            <v>3.2335060000000001E-3</v>
          </cell>
          <cell r="O51">
            <v>1.0084301630000001</v>
          </cell>
          <cell r="P51">
            <v>1.1695550000000001E-3</v>
          </cell>
          <cell r="Q51">
            <v>0.118547055</v>
          </cell>
          <cell r="R51">
            <v>1.003545382</v>
          </cell>
          <cell r="S51">
            <v>9.01262E-4</v>
          </cell>
          <cell r="T51">
            <v>1.0021595649999999</v>
          </cell>
          <cell r="U51">
            <v>9.320811E-3</v>
          </cell>
          <cell r="V51">
            <v>1.045679086</v>
          </cell>
          <cell r="W51">
            <v>1.038622478</v>
          </cell>
          <cell r="X51">
            <v>5.3320199999999998E-3</v>
          </cell>
          <cell r="Y51">
            <v>1.0207572840000001</v>
          </cell>
          <cell r="Z51">
            <v>2.79E-6</v>
          </cell>
          <cell r="AA51">
            <v>2.7103199999999999E-4</v>
          </cell>
          <cell r="AB51">
            <v>1.000007485</v>
          </cell>
          <cell r="AC51">
            <v>2.4899999999999999E-6</v>
          </cell>
          <cell r="AD51">
            <v>1.000004774</v>
          </cell>
          <cell r="AE51">
            <v>-234.42838560000001</v>
          </cell>
          <cell r="AF51">
            <v>67.439889669999999</v>
          </cell>
          <cell r="AG51">
            <v>-237.2933242</v>
          </cell>
          <cell r="AH51">
            <v>67.492275190000001</v>
          </cell>
          <cell r="AI51" t="str">
            <v>Medium</v>
          </cell>
          <cell r="AJ51" t="str">
            <v>High</v>
          </cell>
          <cell r="AK51" t="str">
            <v>Medium</v>
          </cell>
          <cell r="AL51" t="str">
            <v>High</v>
          </cell>
          <cell r="AM51" t="str">
            <v>Utilize_Med</v>
          </cell>
          <cell r="AN51" t="str">
            <v>Avoid_High</v>
          </cell>
          <cell r="AO51" t="str">
            <v>Utilize_Med</v>
          </cell>
          <cell r="AP51" t="str">
            <v>Avoid_High</v>
          </cell>
        </row>
        <row r="52">
          <cell r="A52" t="str">
            <v>US0090-2</v>
          </cell>
          <cell r="B52">
            <v>195.19672245000001</v>
          </cell>
          <cell r="C52" t="str">
            <v>West</v>
          </cell>
          <cell r="D52">
            <v>195.19675741699999</v>
          </cell>
          <cell r="E52" t="str">
            <v>US0090-2</v>
          </cell>
          <cell r="F52">
            <v>420.99879370000002</v>
          </cell>
          <cell r="G52">
            <v>79919.097636000006</v>
          </cell>
          <cell r="H52">
            <v>397.85802189999998</v>
          </cell>
          <cell r="I52">
            <v>11.57038607</v>
          </cell>
          <cell r="J52">
            <v>409.42840799999999</v>
          </cell>
          <cell r="K52">
            <v>8.2700000000000006E-9</v>
          </cell>
          <cell r="L52">
            <v>8.0299999999999998E-7</v>
          </cell>
          <cell r="M52">
            <v>1.000000022</v>
          </cell>
          <cell r="N52">
            <v>6.58E-9</v>
          </cell>
          <cell r="O52">
            <v>1.000000014</v>
          </cell>
          <cell r="P52">
            <v>6.9399999999999996E-9</v>
          </cell>
          <cell r="Q52">
            <v>6.7400000000000003E-7</v>
          </cell>
          <cell r="R52">
            <v>1.000000019</v>
          </cell>
          <cell r="S52">
            <v>5.4100000000000001E-9</v>
          </cell>
          <cell r="T52">
            <v>1.0000000120000001</v>
          </cell>
          <cell r="U52">
            <v>9.5999999999999999E-9</v>
          </cell>
          <cell r="V52">
            <v>9.3200000000000003E-7</v>
          </cell>
          <cell r="W52">
            <v>1.0000000259999999</v>
          </cell>
          <cell r="X52">
            <v>7.7499999999999999E-9</v>
          </cell>
          <cell r="Y52">
            <v>1.000000016</v>
          </cell>
          <cell r="Z52">
            <v>4.2899999999999999E-9</v>
          </cell>
          <cell r="AA52">
            <v>4.1600000000000002E-7</v>
          </cell>
          <cell r="AB52">
            <v>1.000000011</v>
          </cell>
          <cell r="AC52">
            <v>3.0600000000000002E-9</v>
          </cell>
          <cell r="AD52">
            <v>1.0000000069999999</v>
          </cell>
          <cell r="AE52">
            <v>-9.9064337079999998</v>
          </cell>
          <cell r="AF52">
            <v>0.94065015100000005</v>
          </cell>
          <cell r="AG52">
            <v>-9.9076052669999992</v>
          </cell>
          <cell r="AH52">
            <v>0.93948971599999997</v>
          </cell>
          <cell r="AI52" t="str">
            <v>Medium</v>
          </cell>
          <cell r="AJ52" t="str">
            <v>Medium</v>
          </cell>
          <cell r="AK52" t="str">
            <v>Medium</v>
          </cell>
          <cell r="AL52" t="str">
            <v>Medium</v>
          </cell>
          <cell r="AM52" t="str">
            <v>Utilize_Low</v>
          </cell>
          <cell r="AN52" t="str">
            <v>Avoid_Low</v>
          </cell>
          <cell r="AO52" t="str">
            <v>Utilize_Low</v>
          </cell>
          <cell r="AP52" t="str">
            <v>Avoid_Low</v>
          </cell>
        </row>
        <row r="53">
          <cell r="A53" t="str">
            <v>US0190-KG</v>
          </cell>
          <cell r="B53">
            <v>122.66597226099999</v>
          </cell>
          <cell r="C53" t="str">
            <v>Central</v>
          </cell>
          <cell r="D53">
            <v>122.66599486699999</v>
          </cell>
          <cell r="E53" t="str">
            <v>US0190-KG</v>
          </cell>
          <cell r="F53">
            <v>856.09873130000005</v>
          </cell>
          <cell r="G53">
            <v>63813.7288138</v>
          </cell>
          <cell r="H53">
            <v>184.3481974</v>
          </cell>
          <cell r="I53">
            <v>335.87526709999997</v>
          </cell>
          <cell r="J53">
            <v>520.22346430000005</v>
          </cell>
          <cell r="K53">
            <v>6.5900000000000001E-8</v>
          </cell>
          <cell r="L53">
            <v>6.3999999999999997E-6</v>
          </cell>
          <cell r="M53">
            <v>1.000000177</v>
          </cell>
          <cell r="N53">
            <v>5.5999999999999999E-8</v>
          </cell>
          <cell r="O53">
            <v>1.000000113</v>
          </cell>
          <cell r="P53">
            <v>7.2300000000000006E-8</v>
          </cell>
          <cell r="Q53">
            <v>7.0199999999999997E-6</v>
          </cell>
          <cell r="R53">
            <v>1.0000001940000001</v>
          </cell>
          <cell r="S53">
            <v>5.9200000000000001E-8</v>
          </cell>
          <cell r="T53">
            <v>1.000000124</v>
          </cell>
          <cell r="U53">
            <v>4.5299999999999999E-7</v>
          </cell>
          <cell r="V53">
            <v>4.3999999999999999E-5</v>
          </cell>
          <cell r="W53">
            <v>1.0000012140000001</v>
          </cell>
          <cell r="X53">
            <v>4.0400000000000002E-7</v>
          </cell>
          <cell r="Y53">
            <v>1.0000007740000001</v>
          </cell>
          <cell r="Z53">
            <v>1.04E-8</v>
          </cell>
          <cell r="AA53">
            <v>1.0100000000000001E-6</v>
          </cell>
          <cell r="AB53">
            <v>1.0000000280000001</v>
          </cell>
          <cell r="AC53">
            <v>1.18E-8</v>
          </cell>
          <cell r="AD53">
            <v>1.0000000179999999</v>
          </cell>
          <cell r="AE53">
            <v>-2.6556525340000001</v>
          </cell>
          <cell r="AF53">
            <v>2.0903467600000001</v>
          </cell>
          <cell r="AG53">
            <v>-2.6433433869999998</v>
          </cell>
          <cell r="AH53">
            <v>2.1282847540000001</v>
          </cell>
          <cell r="AI53" t="str">
            <v>Medium</v>
          </cell>
          <cell r="AJ53" t="str">
            <v>Medium</v>
          </cell>
          <cell r="AK53" t="str">
            <v>Medium</v>
          </cell>
          <cell r="AL53" t="str">
            <v>Medium</v>
          </cell>
          <cell r="AM53" t="str">
            <v>Utilize_Low</v>
          </cell>
          <cell r="AN53" t="str">
            <v>Avoid_Low</v>
          </cell>
          <cell r="AO53" t="str">
            <v>Utilize_Low</v>
          </cell>
          <cell r="AP53" t="str">
            <v>Avoid_Low</v>
          </cell>
        </row>
        <row r="54">
          <cell r="A54" t="str">
            <v>US0277-1</v>
          </cell>
          <cell r="B54">
            <v>123.780828525</v>
          </cell>
          <cell r="C54" t="str">
            <v>Central</v>
          </cell>
          <cell r="D54">
            <v>123.78085179</v>
          </cell>
          <cell r="E54" t="str">
            <v>US0277-1</v>
          </cell>
          <cell r="F54">
            <v>7021.8508579999998</v>
          </cell>
          <cell r="G54">
            <v>583891.27448999905</v>
          </cell>
          <cell r="H54">
            <v>2412.4237670000002</v>
          </cell>
          <cell r="I54">
            <v>2304.7135450000001</v>
          </cell>
          <cell r="J54">
            <v>4717.1373119999998</v>
          </cell>
          <cell r="K54">
            <v>9.4900000000000006E-6</v>
          </cell>
          <cell r="L54">
            <v>9.2139299999999995E-4</v>
          </cell>
          <cell r="M54">
            <v>1.000025449</v>
          </cell>
          <cell r="N54">
            <v>9.3600000000000002E-6</v>
          </cell>
          <cell r="O54">
            <v>1.0000162290000001</v>
          </cell>
          <cell r="P54">
            <v>7.6899999999999992E-6</v>
          </cell>
          <cell r="Q54">
            <v>7.4706800000000004E-4</v>
          </cell>
          <cell r="R54">
            <v>1.000020635</v>
          </cell>
          <cell r="S54">
            <v>7.5499999999999997E-6</v>
          </cell>
          <cell r="T54">
            <v>1.000013158</v>
          </cell>
          <cell r="U54">
            <v>2.32E-4</v>
          </cell>
          <cell r="V54">
            <v>2.2610365E-2</v>
          </cell>
          <cell r="W54">
            <v>1.0006281459999999</v>
          </cell>
          <cell r="X54">
            <v>2.33E-4</v>
          </cell>
          <cell r="Y54">
            <v>1.0003992429999999</v>
          </cell>
          <cell r="Z54">
            <v>1.39E-8</v>
          </cell>
          <cell r="AA54">
            <v>1.35E-6</v>
          </cell>
          <cell r="AB54">
            <v>1.000000037</v>
          </cell>
          <cell r="AC54">
            <v>1.3599999999999999E-8</v>
          </cell>
          <cell r="AD54">
            <v>1.000000024</v>
          </cell>
          <cell r="AE54">
            <v>-98.600972220000003</v>
          </cell>
          <cell r="AF54">
            <v>-1383.046497</v>
          </cell>
          <cell r="AG54">
            <v>-98.609712180000002</v>
          </cell>
          <cell r="AH54">
            <v>-1383.311074</v>
          </cell>
          <cell r="AI54" t="str">
            <v>Medium</v>
          </cell>
          <cell r="AJ54" t="str">
            <v>Low</v>
          </cell>
          <cell r="AK54" t="str">
            <v>Medium</v>
          </cell>
          <cell r="AL54" t="str">
            <v>Low</v>
          </cell>
          <cell r="AM54" t="str">
            <v>Utilize_Med</v>
          </cell>
          <cell r="AN54" t="str">
            <v>Utilize_High</v>
          </cell>
          <cell r="AO54" t="str">
            <v>Utilize_Med</v>
          </cell>
          <cell r="AP54" t="str">
            <v>Utilize_High</v>
          </cell>
        </row>
        <row r="55">
          <cell r="A55" t="str">
            <v>US0277-2</v>
          </cell>
          <cell r="B55">
            <v>96.577199252</v>
          </cell>
          <cell r="C55" t="str">
            <v>Central</v>
          </cell>
          <cell r="D55">
            <v>96.577217941000001</v>
          </cell>
          <cell r="E55" t="str">
            <v>US0277-2</v>
          </cell>
          <cell r="F55">
            <v>5663.8684380000004</v>
          </cell>
          <cell r="G55">
            <v>458291.50997299899</v>
          </cell>
          <cell r="H55">
            <v>3826.8068939999998</v>
          </cell>
          <cell r="I55">
            <v>918.5307722</v>
          </cell>
          <cell r="J55">
            <v>4745.3376660000004</v>
          </cell>
          <cell r="K55">
            <v>4.2404600000000003E-4</v>
          </cell>
          <cell r="L55">
            <v>4.2135191000000002E-2</v>
          </cell>
          <cell r="M55">
            <v>1.0012131419999999</v>
          </cell>
          <cell r="N55">
            <v>3.6234700000000001E-4</v>
          </cell>
          <cell r="O55">
            <v>1.000755429</v>
          </cell>
          <cell r="P55">
            <v>1.86598E-5</v>
          </cell>
          <cell r="Q55">
            <v>1.8151969999999999E-3</v>
          </cell>
          <cell r="R55">
            <v>1.0000502819999999</v>
          </cell>
          <cell r="S55">
            <v>1.67436E-5</v>
          </cell>
          <cell r="T55">
            <v>1.0000320119999999</v>
          </cell>
          <cell r="U55">
            <v>3.2403E-4</v>
          </cell>
          <cell r="V55">
            <v>3.1984878000000001E-2</v>
          </cell>
          <cell r="W55">
            <v>1.000909936</v>
          </cell>
          <cell r="X55">
            <v>2.8030299999999998E-4</v>
          </cell>
          <cell r="Y55">
            <v>1.0005705170000001</v>
          </cell>
          <cell r="Z55">
            <v>3.1699999999999999E-8</v>
          </cell>
          <cell r="AA55">
            <v>3.0800000000000002E-6</v>
          </cell>
          <cell r="AB55">
            <v>1.0000000849999999</v>
          </cell>
          <cell r="AC55">
            <v>2.85E-8</v>
          </cell>
          <cell r="AD55">
            <v>1.000000054</v>
          </cell>
          <cell r="AE55">
            <v>-142.7951128</v>
          </cell>
          <cell r="AF55">
            <v>-473.74590510000002</v>
          </cell>
          <cell r="AG55">
            <v>-142.80743559999999</v>
          </cell>
          <cell r="AH55">
            <v>-473.77143380000001</v>
          </cell>
          <cell r="AI55" t="str">
            <v>Medium</v>
          </cell>
          <cell r="AJ55" t="str">
            <v>Low</v>
          </cell>
          <cell r="AK55" t="str">
            <v>Medium</v>
          </cell>
          <cell r="AL55" t="str">
            <v>Low</v>
          </cell>
          <cell r="AM55" t="str">
            <v>Utilize_Med</v>
          </cell>
          <cell r="AN55" t="str">
            <v>Utilize_High</v>
          </cell>
          <cell r="AO55" t="str">
            <v>Utilize_Med</v>
          </cell>
          <cell r="AP55" t="str">
            <v>Utilize_High</v>
          </cell>
        </row>
        <row r="56">
          <cell r="A56" t="str">
            <v>US0285-KG</v>
          </cell>
          <cell r="B56">
            <v>169.551014127</v>
          </cell>
          <cell r="C56" t="str">
            <v>West</v>
          </cell>
          <cell r="D56">
            <v>169.551044405</v>
          </cell>
          <cell r="E56" t="str">
            <v>US0285-KG</v>
          </cell>
          <cell r="F56">
            <v>1249.2784650000001</v>
          </cell>
          <cell r="G56">
            <v>161153.424124999</v>
          </cell>
          <cell r="H56">
            <v>651.66440150000005</v>
          </cell>
          <cell r="I56">
            <v>298.80703160000002</v>
          </cell>
          <cell r="J56">
            <v>950.47143300000005</v>
          </cell>
          <cell r="K56">
            <v>5.3700000000000003E-6</v>
          </cell>
          <cell r="L56">
            <v>5.2148299999999999E-4</v>
          </cell>
          <cell r="M56">
            <v>1.000014408</v>
          </cell>
          <cell r="N56">
            <v>4.8199999999999996E-6</v>
          </cell>
          <cell r="O56">
            <v>1.000009186</v>
          </cell>
          <cell r="P56">
            <v>1.5599999999999999E-7</v>
          </cell>
          <cell r="Q56">
            <v>1.5099999999999999E-5</v>
          </cell>
          <cell r="R56">
            <v>1.0000004179999999</v>
          </cell>
          <cell r="S56">
            <v>1.3899999999999999E-7</v>
          </cell>
          <cell r="T56">
            <v>1.000000266</v>
          </cell>
          <cell r="U56">
            <v>4.2300000000000002E-6</v>
          </cell>
          <cell r="V56">
            <v>4.1085699999999999E-4</v>
          </cell>
          <cell r="W56">
            <v>1.0000113500000001</v>
          </cell>
          <cell r="X56">
            <v>3.8E-6</v>
          </cell>
          <cell r="Y56">
            <v>1.0000072369999999</v>
          </cell>
          <cell r="Z56">
            <v>6.8100000000000003E-9</v>
          </cell>
          <cell r="AA56">
            <v>6.61E-7</v>
          </cell>
          <cell r="AB56">
            <v>1.0000000179999999</v>
          </cell>
          <cell r="AC56">
            <v>5.7800000000000003E-9</v>
          </cell>
          <cell r="AD56">
            <v>1.0000000120000001</v>
          </cell>
          <cell r="AE56">
            <v>-35.516703049999997</v>
          </cell>
          <cell r="AF56">
            <v>162.16274340000001</v>
          </cell>
          <cell r="AG56">
            <v>-35.472902220000002</v>
          </cell>
          <cell r="AH56">
            <v>163.7841244</v>
          </cell>
          <cell r="AI56" t="str">
            <v>Medium</v>
          </cell>
          <cell r="AJ56" t="str">
            <v>High</v>
          </cell>
          <cell r="AK56" t="str">
            <v>Medium</v>
          </cell>
          <cell r="AL56" t="str">
            <v>High</v>
          </cell>
          <cell r="AM56" t="str">
            <v>Utilize_Low</v>
          </cell>
          <cell r="AN56" t="str">
            <v>Avoid_High</v>
          </cell>
          <cell r="AO56" t="str">
            <v>Utilize_Low</v>
          </cell>
          <cell r="AP56" t="str">
            <v>Avoid_High</v>
          </cell>
        </row>
        <row r="57">
          <cell r="A57" t="str">
            <v>US0385-KG</v>
          </cell>
          <cell r="B57">
            <v>97.141262682700003</v>
          </cell>
          <cell r="C57" t="str">
            <v>West</v>
          </cell>
          <cell r="D57">
            <v>97.141280162499996</v>
          </cell>
          <cell r="E57" t="str">
            <v>US0385-KG</v>
          </cell>
          <cell r="F57">
            <v>3225.5549299999998</v>
          </cell>
          <cell r="G57">
            <v>246251.625631</v>
          </cell>
          <cell r="H57">
            <v>1844.413783</v>
          </cell>
          <cell r="I57">
            <v>690.57057350000002</v>
          </cell>
          <cell r="J57">
            <v>2534.9843569999998</v>
          </cell>
          <cell r="K57">
            <v>2.33353E-4</v>
          </cell>
          <cell r="L57">
            <v>2.3075137999999999E-2</v>
          </cell>
          <cell r="M57">
            <v>1.000658155</v>
          </cell>
          <cell r="N57">
            <v>1.8996799999999999E-4</v>
          </cell>
          <cell r="O57">
            <v>1.000412088</v>
          </cell>
          <cell r="P57">
            <v>3.8399999999999998E-5</v>
          </cell>
          <cell r="Q57">
            <v>3.7393679999999999E-3</v>
          </cell>
          <cell r="R57">
            <v>1.0001037209999999</v>
          </cell>
          <cell r="S57">
            <v>3.3000000000000003E-5</v>
          </cell>
          <cell r="T57">
            <v>1.000065983</v>
          </cell>
          <cell r="U57">
            <v>4.5795999999999999E-4</v>
          </cell>
          <cell r="V57">
            <v>4.6006325000000001E-2</v>
          </cell>
          <cell r="W57">
            <v>1.00135062</v>
          </cell>
          <cell r="X57">
            <v>3.5291100000000002E-4</v>
          </cell>
          <cell r="Y57">
            <v>1.0008317790000001</v>
          </cell>
          <cell r="Z57">
            <v>1.2599999999999999E-7</v>
          </cell>
          <cell r="AA57">
            <v>1.2300000000000001E-5</v>
          </cell>
          <cell r="AB57">
            <v>1.000000338</v>
          </cell>
          <cell r="AC57">
            <v>1.1000000000000001E-7</v>
          </cell>
          <cell r="AD57">
            <v>1.0000002160000001</v>
          </cell>
          <cell r="AE57">
            <v>21.78247666</v>
          </cell>
          <cell r="AF57">
            <v>55.527464989999999</v>
          </cell>
          <cell r="AG57">
            <v>22.11080243</v>
          </cell>
          <cell r="AH57">
            <v>55.806316979999998</v>
          </cell>
          <cell r="AI57" t="str">
            <v>Medium</v>
          </cell>
          <cell r="AJ57" t="str">
            <v>High</v>
          </cell>
          <cell r="AK57" t="str">
            <v>Medium</v>
          </cell>
          <cell r="AL57" t="str">
            <v>High</v>
          </cell>
          <cell r="AM57" t="str">
            <v>Avoid_Low</v>
          </cell>
          <cell r="AN57" t="str">
            <v>Avoid_High</v>
          </cell>
          <cell r="AO57" t="str">
            <v>Avoid_Low</v>
          </cell>
          <cell r="AP57" t="str">
            <v>Avoid_High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Railroad"/>
      <sheetName val="Bridges"/>
      <sheetName val="DMS"/>
      <sheetName val="CCTV"/>
      <sheetName val="Buffer"/>
      <sheetName val="Congestion"/>
      <sheetName val="TxDOT Projects"/>
      <sheetName val="Crashes"/>
      <sheetName val="Crashes Details"/>
      <sheetName val="PCI_2024"/>
      <sheetName val="Output"/>
      <sheetName val="METRICS"/>
      <sheetName val="LEVELS"/>
      <sheetName val="RANK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AA2" t="str">
            <v>FM0490-KG</v>
          </cell>
          <cell r="AB2">
            <v>15.616366000000001</v>
          </cell>
          <cell r="AC2">
            <v>8375.8624083221421</v>
          </cell>
          <cell r="AD2">
            <v>1.0102E-2</v>
          </cell>
        </row>
        <row r="3">
          <cell r="AA3" t="str">
            <v>FM1015-KG</v>
          </cell>
          <cell r="AB3">
            <v>22.419996999999999</v>
          </cell>
          <cell r="AC3">
            <v>522528.69162565022</v>
          </cell>
          <cell r="AD3">
            <v>0</v>
          </cell>
        </row>
        <row r="4">
          <cell r="AA4" t="str">
            <v>FM0649-KG</v>
          </cell>
          <cell r="AB4">
            <v>86.525385999999941</v>
          </cell>
          <cell r="AC4">
            <v>11762.504214589699</v>
          </cell>
          <cell r="AD4">
            <v>6.9096669999999998</v>
          </cell>
        </row>
        <row r="5">
          <cell r="AA5" t="str">
            <v>FM0650-KG</v>
          </cell>
          <cell r="AB5">
            <v>3.8032469999999998</v>
          </cell>
          <cell r="AC5">
            <v>30777.863990427129</v>
          </cell>
          <cell r="AD5">
            <v>0</v>
          </cell>
        </row>
        <row r="6">
          <cell r="AA6" t="str">
            <v>FM0755-KG</v>
          </cell>
          <cell r="AB6">
            <v>67.640117999999987</v>
          </cell>
          <cell r="AC6">
            <v>17975.935296446409</v>
          </cell>
          <cell r="AD6">
            <v>0</v>
          </cell>
        </row>
        <row r="7">
          <cell r="AA7" t="str">
            <v>SH0290-KG</v>
          </cell>
          <cell r="AB7">
            <v>5.4772840000000009</v>
          </cell>
          <cell r="AC7">
            <v>3883.3226675848828</v>
          </cell>
          <cell r="AD7">
            <v>0</v>
          </cell>
        </row>
        <row r="8">
          <cell r="AA8" t="str">
            <v>FM0305-KG</v>
          </cell>
          <cell r="AB8">
            <v>22.873380000000008</v>
          </cell>
          <cell r="AC8">
            <v>8479.4643928007117</v>
          </cell>
          <cell r="AD8">
            <v>0</v>
          </cell>
        </row>
        <row r="9">
          <cell r="AA9" t="str">
            <v>US0083-KG</v>
          </cell>
          <cell r="AB9">
            <v>378.25185899999974</v>
          </cell>
          <cell r="AC9">
            <v>52595.749561733122</v>
          </cell>
          <cell r="AD9">
            <v>19.575215999999998</v>
          </cell>
        </row>
        <row r="10">
          <cell r="AA10" t="str">
            <v>US0083-1</v>
          </cell>
          <cell r="AB10">
            <v>108.143126791</v>
          </cell>
          <cell r="AC10">
            <v>17154.960856331476</v>
          </cell>
          <cell r="AD10">
            <v>6.3847757096812821</v>
          </cell>
        </row>
        <row r="11">
          <cell r="AA11" t="str">
            <v>US0083-2</v>
          </cell>
          <cell r="AB11">
            <v>32.8099010761999</v>
          </cell>
          <cell r="AC11">
            <v>5204.7003389323081</v>
          </cell>
          <cell r="AD11">
            <v>1.9370982293976058</v>
          </cell>
        </row>
        <row r="12">
          <cell r="AA12" t="str">
            <v>US0083-3</v>
          </cell>
          <cell r="AB12">
            <v>190.605222900999</v>
          </cell>
          <cell r="AC12">
            <v>30236.088366469339</v>
          </cell>
          <cell r="AD12">
            <v>11.25334206092111</v>
          </cell>
        </row>
        <row r="13">
          <cell r="AA13" t="str">
            <v>US0190-KG</v>
          </cell>
          <cell r="AB13">
            <v>142.86771999999996</v>
          </cell>
          <cell r="AC13">
            <v>2517.1497562360491</v>
          </cell>
          <cell r="AD13">
            <v>4.4820149999999996</v>
          </cell>
        </row>
        <row r="14">
          <cell r="AA14" t="str">
            <v>SH0017-KG</v>
          </cell>
          <cell r="AB14">
            <v>106.08280599999995</v>
          </cell>
          <cell r="AC14">
            <v>15237.499063175241</v>
          </cell>
          <cell r="AD14">
            <v>0</v>
          </cell>
        </row>
        <row r="15">
          <cell r="AA15" t="str">
            <v>US0067-KG</v>
          </cell>
          <cell r="AB15">
            <v>195.55787699999993</v>
          </cell>
          <cell r="AC15">
            <v>3745.3420374828488</v>
          </cell>
          <cell r="AD15">
            <v>2.2199800000000001</v>
          </cell>
        </row>
        <row r="16">
          <cell r="AA16" t="str">
            <v>US0067/90-</v>
          </cell>
          <cell r="AB16">
            <v>39.921871000000017</v>
          </cell>
          <cell r="AC16">
            <v>14798.043466650141</v>
          </cell>
          <cell r="AD16">
            <v>2.1683949999999999</v>
          </cell>
        </row>
        <row r="17">
          <cell r="AA17" t="str">
            <v>US0090-KG</v>
          </cell>
          <cell r="AB17">
            <v>463.53692799999988</v>
          </cell>
          <cell r="AC17">
            <v>81660.210017970778</v>
          </cell>
          <cell r="AD17">
            <v>7.7948229999999992</v>
          </cell>
        </row>
        <row r="18">
          <cell r="AA18" t="str">
            <v>US0090-1</v>
          </cell>
          <cell r="AB18">
            <v>206.581413717</v>
          </cell>
          <cell r="AC18">
            <v>41987.057311968048</v>
          </cell>
          <cell r="AD18">
            <v>4.0078476404312759</v>
          </cell>
        </row>
        <row r="19">
          <cell r="AA19" t="str">
            <v>US0090-2</v>
          </cell>
          <cell r="AB19">
            <v>195.19672245000001</v>
          </cell>
          <cell r="AC19">
            <v>39673.152706002737</v>
          </cell>
          <cell r="AD19">
            <v>3.7869753595687232</v>
          </cell>
        </row>
        <row r="20">
          <cell r="AA20" t="str">
            <v>FM0624-KG</v>
          </cell>
          <cell r="AB20">
            <v>110.8052</v>
          </cell>
          <cell r="AC20">
            <v>8709.6247791800379</v>
          </cell>
          <cell r="AD20">
            <v>0</v>
          </cell>
        </row>
        <row r="21">
          <cell r="AA21" t="str">
            <v>FM0681-KG</v>
          </cell>
          <cell r="AB21">
            <v>30.583708999999995</v>
          </cell>
          <cell r="AC21">
            <v>629666.78271556285</v>
          </cell>
          <cell r="AD21">
            <v>0</v>
          </cell>
        </row>
        <row r="22">
          <cell r="AA22" t="str">
            <v>FM1017-KG</v>
          </cell>
          <cell r="AB22">
            <v>85.555442999999983</v>
          </cell>
          <cell r="AC22">
            <v>27659.271267732205</v>
          </cell>
          <cell r="AD22">
            <v>0</v>
          </cell>
        </row>
        <row r="23">
          <cell r="AA23" t="str">
            <v>FM2369-KG</v>
          </cell>
          <cell r="AB23">
            <v>4.8328720000000001</v>
          </cell>
          <cell r="AC23">
            <v>18344.290203630469</v>
          </cell>
          <cell r="AD23">
            <v>0</v>
          </cell>
        </row>
        <row r="24">
          <cell r="AA24" t="str">
            <v>FM3380-KG</v>
          </cell>
          <cell r="AB24">
            <v>4.8821260000000013</v>
          </cell>
          <cell r="AC24">
            <v>270.13233497046156</v>
          </cell>
          <cell r="AD24">
            <v>0.192966</v>
          </cell>
        </row>
        <row r="25">
          <cell r="AA25" t="str">
            <v>SH0016-KG</v>
          </cell>
          <cell r="AB25">
            <v>235.10999800000013</v>
          </cell>
          <cell r="AC25">
            <v>27650.119854856173</v>
          </cell>
          <cell r="AD25">
            <v>2.752891</v>
          </cell>
        </row>
        <row r="26">
          <cell r="AA26" t="str">
            <v>SH0016-1</v>
          </cell>
          <cell r="AB26">
            <v>182.860403915999</v>
          </cell>
          <cell r="AC26">
            <v>24891.867508822459</v>
          </cell>
          <cell r="AD26">
            <v>2.4782749007214462</v>
          </cell>
        </row>
        <row r="27">
          <cell r="AA27" t="str">
            <v>SH0016-2</v>
          </cell>
          <cell r="AB27">
            <v>20.2626475462</v>
          </cell>
          <cell r="AC27">
            <v>2758.2523460337147</v>
          </cell>
          <cell r="AD27">
            <v>0.27461609927855396</v>
          </cell>
        </row>
        <row r="28">
          <cell r="AA28" t="str">
            <v>SH0020-KG</v>
          </cell>
          <cell r="AB28">
            <v>42.229853999999982</v>
          </cell>
          <cell r="AC28">
            <v>26695.365599251189</v>
          </cell>
          <cell r="AD28">
            <v>2.3719840000000003</v>
          </cell>
        </row>
        <row r="29">
          <cell r="AA29" t="str">
            <v>SH0044-KG</v>
          </cell>
          <cell r="AB29">
            <v>112.49104600000005</v>
          </cell>
          <cell r="AC29">
            <v>238923.12470646747</v>
          </cell>
          <cell r="AD29">
            <v>11.894848000000001</v>
          </cell>
        </row>
        <row r="30">
          <cell r="AA30" t="str">
            <v>SH0044-1</v>
          </cell>
          <cell r="AB30">
            <v>56.3240863179999</v>
          </cell>
          <cell r="AC30">
            <v>135336.73429903755</v>
          </cell>
          <cell r="AD30">
            <v>6.7377734377163945</v>
          </cell>
        </row>
        <row r="31">
          <cell r="AA31" t="str">
            <v>SH0044-2</v>
          </cell>
          <cell r="AB31">
            <v>43.110311660000001</v>
          </cell>
          <cell r="AC31">
            <v>103586.39040742992</v>
          </cell>
          <cell r="AD31">
            <v>5.1570745622836061</v>
          </cell>
        </row>
        <row r="32">
          <cell r="AA32" t="str">
            <v>SH0072-KG</v>
          </cell>
          <cell r="AB32">
            <v>47.234622000000016</v>
          </cell>
          <cell r="AC32">
            <v>8481.7203106018223</v>
          </cell>
          <cell r="AD32">
            <v>0</v>
          </cell>
        </row>
        <row r="33">
          <cell r="AA33" t="str">
            <v>SH0097-KG</v>
          </cell>
          <cell r="AB33">
            <v>86.632999000000012</v>
          </cell>
          <cell r="AC33">
            <v>20768.635997710287</v>
          </cell>
          <cell r="AD33">
            <v>1.701012</v>
          </cell>
        </row>
        <row r="34">
          <cell r="AA34" t="str">
            <v>SH0107-KG</v>
          </cell>
          <cell r="AB34">
            <v>27.085081999999996</v>
          </cell>
          <cell r="AC34">
            <v>636160.97660782433</v>
          </cell>
          <cell r="AD34">
            <v>4.2965460000000002</v>
          </cell>
        </row>
        <row r="35">
          <cell r="AA35" t="str">
            <v>SH0141-KG</v>
          </cell>
          <cell r="AB35">
            <v>18.260682000000003</v>
          </cell>
          <cell r="AC35">
            <v>117157.57527829465</v>
          </cell>
          <cell r="AD35">
            <v>0.28066200000000002</v>
          </cell>
        </row>
        <row r="36">
          <cell r="AA36" t="str">
            <v>SH0173-KG</v>
          </cell>
          <cell r="AB36">
            <v>111.90931800000003</v>
          </cell>
          <cell r="AC36">
            <v>39349.171491358728</v>
          </cell>
          <cell r="AD36">
            <v>3.5861329999999998</v>
          </cell>
        </row>
        <row r="37">
          <cell r="AA37" t="str">
            <v>SH0173-1</v>
          </cell>
          <cell r="AB37">
            <v>16.3123234551</v>
          </cell>
          <cell r="AC37">
            <v>6371.5316129526991</v>
          </cell>
          <cell r="AD37">
            <v>0.58067702347356132</v>
          </cell>
        </row>
        <row r="38">
          <cell r="AA38" t="str">
            <v>SH0173-2</v>
          </cell>
          <cell r="AB38">
            <v>84.428982097299894</v>
          </cell>
          <cell r="AC38">
            <v>32977.639878406029</v>
          </cell>
          <cell r="AD38">
            <v>3.0054559765264384</v>
          </cell>
        </row>
        <row r="39">
          <cell r="AA39" t="str">
            <v>SH0255-KG</v>
          </cell>
          <cell r="AB39">
            <v>24.293980000000012</v>
          </cell>
          <cell r="AC39">
            <v>4886.0925761443759</v>
          </cell>
          <cell r="AD39">
            <v>0</v>
          </cell>
        </row>
        <row r="40">
          <cell r="AA40" t="str">
            <v>SH0349-KG</v>
          </cell>
          <cell r="AB40">
            <v>105.219588</v>
          </cell>
          <cell r="AC40">
            <v>378.04423712436511</v>
          </cell>
          <cell r="AD40">
            <v>0</v>
          </cell>
        </row>
        <row r="41">
          <cell r="AA41" t="str">
            <v>SH0285-KG</v>
          </cell>
          <cell r="AB41">
            <v>63.904671999999991</v>
          </cell>
          <cell r="AC41">
            <v>30874.358947261331</v>
          </cell>
          <cell r="AD41">
            <v>0.23605999999999999</v>
          </cell>
        </row>
        <row r="42">
          <cell r="AA42" t="str">
            <v>SH0359-KG</v>
          </cell>
          <cell r="AB42">
            <v>121.73907399999999</v>
          </cell>
          <cell r="AC42">
            <v>6876.5336588481032</v>
          </cell>
          <cell r="AD42">
            <v>4.7400429999999991</v>
          </cell>
        </row>
        <row r="43">
          <cell r="AA43" t="str">
            <v>SH0359-1</v>
          </cell>
          <cell r="AB43">
            <v>44.3952689889</v>
          </cell>
          <cell r="AC43">
            <v>2823.3029317782807</v>
          </cell>
          <cell r="AD43">
            <v>1.9461225615373265</v>
          </cell>
        </row>
        <row r="44">
          <cell r="AA44" t="str">
            <v>SH0359-2</v>
          </cell>
          <cell r="AB44">
            <v>42.901241016900002</v>
          </cell>
          <cell r="AC44">
            <v>2728.2907007551735</v>
          </cell>
          <cell r="AD44">
            <v>1.8806299626614413</v>
          </cell>
        </row>
        <row r="45">
          <cell r="AA45" t="str">
            <v>SH0359-3</v>
          </cell>
          <cell r="AB45">
            <v>20.8341330292</v>
          </cell>
          <cell r="AC45">
            <v>1324.9400263146488</v>
          </cell>
          <cell r="AD45">
            <v>0.91329047580123113</v>
          </cell>
        </row>
        <row r="46">
          <cell r="AA46" t="str">
            <v>SL0079-KG</v>
          </cell>
          <cell r="AB46">
            <v>13.843130000000002</v>
          </cell>
          <cell r="AC46">
            <v>4372.5052152945163</v>
          </cell>
          <cell r="AD46">
            <v>0</v>
          </cell>
        </row>
        <row r="47">
          <cell r="AA47" t="str">
            <v>SL0480-KG</v>
          </cell>
          <cell r="AB47">
            <v>32.082257999999996</v>
          </cell>
          <cell r="AC47">
            <v>548969.29255157174</v>
          </cell>
          <cell r="AD47">
            <v>0</v>
          </cell>
        </row>
        <row r="48">
          <cell r="AA48" t="str">
            <v>SL0480-F</v>
          </cell>
          <cell r="AB48">
            <v>6.5691873898299997</v>
          </cell>
          <cell r="AC48">
            <v>112407.36715083089</v>
          </cell>
          <cell r="AD48">
            <v>0</v>
          </cell>
        </row>
        <row r="49">
          <cell r="AA49" t="str">
            <v>US0059-KG</v>
          </cell>
          <cell r="AB49">
            <v>121.50892499999999</v>
          </cell>
          <cell r="AC49">
            <v>8607.5213936589462</v>
          </cell>
          <cell r="AD49">
            <v>0.23055400000000001</v>
          </cell>
        </row>
        <row r="50">
          <cell r="AA50" t="str">
            <v>US0057-KG</v>
          </cell>
          <cell r="AB50">
            <v>111.92096299999993</v>
          </cell>
          <cell r="AC50">
            <v>116692.90850510291</v>
          </cell>
          <cell r="AD50">
            <v>0.88504700000000003</v>
          </cell>
        </row>
        <row r="51">
          <cell r="AA51" t="str">
            <v>US0062-KG</v>
          </cell>
          <cell r="AB51">
            <v>134.86007899999998</v>
          </cell>
          <cell r="AC51">
            <v>2436891.300013497</v>
          </cell>
          <cell r="AD51">
            <v>4.6974629999999999</v>
          </cell>
        </row>
        <row r="52">
          <cell r="AA52" t="str">
            <v>SL0195-F</v>
          </cell>
          <cell r="AB52">
            <v>17.898783000000002</v>
          </cell>
          <cell r="AC52">
            <v>15277.42687762626</v>
          </cell>
          <cell r="AD52">
            <v>0</v>
          </cell>
        </row>
        <row r="53">
          <cell r="AA53" t="str">
            <v>US0277-KG</v>
          </cell>
          <cell r="AB53">
            <v>254.28478500000008</v>
          </cell>
          <cell r="AC53">
            <v>54925.397371753832</v>
          </cell>
          <cell r="AD53">
            <v>4.1604460000000003</v>
          </cell>
        </row>
        <row r="54">
          <cell r="AA54" t="str">
            <v>US0277-1</v>
          </cell>
          <cell r="AB54">
            <v>123.780828525</v>
          </cell>
          <cell r="AC54">
            <v>30853.02252124334</v>
          </cell>
          <cell r="AD54">
            <v>2.3370305956571729</v>
          </cell>
        </row>
        <row r="55">
          <cell r="AA55" t="str">
            <v>US0277-2</v>
          </cell>
          <cell r="AB55">
            <v>96.577199252</v>
          </cell>
          <cell r="AC55">
            <v>24072.374850510489</v>
          </cell>
          <cell r="AD55">
            <v>1.8234154043428272</v>
          </cell>
        </row>
        <row r="56">
          <cell r="AA56" t="str">
            <v>US0285-KG</v>
          </cell>
          <cell r="AB56">
            <v>198.40191600000011</v>
          </cell>
          <cell r="AC56">
            <v>38818.804171956632</v>
          </cell>
          <cell r="AD56">
            <v>10.17557</v>
          </cell>
        </row>
        <row r="57">
          <cell r="AA57" t="str">
            <v>US0385-KG</v>
          </cell>
          <cell r="AB57">
            <v>113.51347800000002</v>
          </cell>
          <cell r="AC57">
            <v>9416.6644037723836</v>
          </cell>
          <cell r="AD57">
            <v>2.6114850000000001</v>
          </cell>
        </row>
        <row r="58">
          <cell r="AA58" t="str">
            <v>RM1111-KG</v>
          </cell>
          <cell r="AB58">
            <v>49.761638000000005</v>
          </cell>
          <cell r="AC58">
            <v>280.43993590001998</v>
          </cell>
          <cell r="AD58">
            <v>0</v>
          </cell>
        </row>
        <row r="59">
          <cell r="AA59" t="str">
            <v>SH0085-KG</v>
          </cell>
          <cell r="AB59">
            <v>87.563652000000005</v>
          </cell>
          <cell r="AC59">
            <v>91.091571214960297</v>
          </cell>
          <cell r="AD59">
            <v>0</v>
          </cell>
        </row>
        <row r="60">
          <cell r="AA60" t="str">
            <v>FM2644-KG</v>
          </cell>
          <cell r="AB60">
            <v>30.651101000000004</v>
          </cell>
          <cell r="AC60">
            <v>0</v>
          </cell>
          <cell r="AD60">
            <v>0</v>
          </cell>
        </row>
        <row r="61">
          <cell r="AA61" t="str">
            <v>FM1023-KG</v>
          </cell>
          <cell r="AB61">
            <v>11.422172999999999</v>
          </cell>
          <cell r="AC61">
            <v>1010.1163967661846</v>
          </cell>
          <cell r="AD61">
            <v>0</v>
          </cell>
        </row>
        <row r="62">
          <cell r="AA62" t="str">
            <v>232AA0301</v>
          </cell>
          <cell r="AB62">
            <v>9.6177539999999997</v>
          </cell>
          <cell r="AC62">
            <v>0</v>
          </cell>
          <cell r="AD62">
            <v>0</v>
          </cell>
        </row>
        <row r="63">
          <cell r="AA63" t="str">
            <v>SH0186-KG</v>
          </cell>
          <cell r="AB63">
            <v>26.112491000000002</v>
          </cell>
          <cell r="AC63">
            <v>871.13166782900942</v>
          </cell>
          <cell r="AD63">
            <v>0</v>
          </cell>
        </row>
        <row r="64">
          <cell r="AA64" t="str">
            <v>FM1021-KG</v>
          </cell>
          <cell r="AB64">
            <v>47.495199999999997</v>
          </cell>
          <cell r="AC64">
            <v>64.758973685761944</v>
          </cell>
          <cell r="AD64">
            <v>0</v>
          </cell>
        </row>
        <row r="65">
          <cell r="AA65" t="str">
            <v>FM1472-KG</v>
          </cell>
          <cell r="AB65">
            <v>50.239303</v>
          </cell>
          <cell r="AC65">
            <v>17.943992992896419</v>
          </cell>
          <cell r="AD65">
            <v>0</v>
          </cell>
        </row>
        <row r="66">
          <cell r="AA66" t="str">
            <v>240AA0350</v>
          </cell>
          <cell r="AB66">
            <v>9.1009999999999997E-3</v>
          </cell>
          <cell r="AC66">
            <v>0</v>
          </cell>
          <cell r="AD66">
            <v>0</v>
          </cell>
        </row>
        <row r="67">
          <cell r="AA67" t="str">
            <v>FM0170-KG</v>
          </cell>
          <cell r="AB67">
            <v>1.2697E-2</v>
          </cell>
          <cell r="AC67">
            <v>0</v>
          </cell>
          <cell r="AD67">
            <v>0</v>
          </cell>
        </row>
        <row r="68">
          <cell r="AA68" t="str">
            <v>240AA1005</v>
          </cell>
          <cell r="AB68">
            <v>13.858457000000001</v>
          </cell>
          <cell r="AC68">
            <v>0</v>
          </cell>
          <cell r="AD68">
            <v>0</v>
          </cell>
        </row>
        <row r="69">
          <cell r="AA69" t="str">
            <v>240AA1001</v>
          </cell>
          <cell r="AB69">
            <v>0.20552300000000001</v>
          </cell>
          <cell r="AC69">
            <v>1</v>
          </cell>
          <cell r="AD69">
            <v>0</v>
          </cell>
        </row>
        <row r="70">
          <cell r="AA70" t="str">
            <v>240AA1004</v>
          </cell>
          <cell r="AB70">
            <v>0.1186</v>
          </cell>
          <cell r="AC70">
            <v>0</v>
          </cell>
          <cell r="AD70">
            <v>0</v>
          </cell>
        </row>
      </sheetData>
      <sheetData sheetId="12"/>
      <sheetData sheetId="1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afrin Mouli" id="{DAEC646B-6177-4BA0-8F3F-35C21A12B24F}" userId="S::mmouli@hntb.com::ec268a09-3013-4a85-9c82-a6b27ef776c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" dT="2024-10-23T17:09:23.28" personId="{DAEC646B-6177-4BA0-8F3F-35C21A12B24F}" id="{CA755D68-6BC0-4DDE-839B-227FC92A8D1D}">
    <text>We did not use forecasted LOS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2" dT="2024-10-23T17:09:23.28" personId="{DAEC646B-6177-4BA0-8F3F-35C21A12B24F}" id="{BF9DC1E8-E3C4-4108-AF8E-1B5192EA52F8}">
    <text>We did not use forecasted LOS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5D399-F4D5-45F0-8B82-D4C7EE7CED31}">
  <dimension ref="A1:AT58"/>
  <sheetViews>
    <sheetView workbookViewId="0">
      <pane xSplit="1" ySplit="2" topLeftCell="B30" activePane="bottomRight" state="frozen"/>
      <selection pane="topRight" activeCell="B1" sqref="B1"/>
      <selection pane="bottomLeft" activeCell="A3" sqref="A3"/>
      <selection pane="bottomRight" activeCell="AC2" sqref="T1:AC1048576"/>
    </sheetView>
  </sheetViews>
  <sheetFormatPr defaultRowHeight="15" x14ac:dyDescent="0.25"/>
  <cols>
    <col min="1" max="3" width="15" customWidth="1"/>
    <col min="4" max="4" width="17.28515625" customWidth="1"/>
    <col min="5" max="5" width="21.140625" hidden="1" customWidth="1"/>
    <col min="6" max="6" width="18.28515625" hidden="1" customWidth="1"/>
    <col min="7" max="7" width="20.140625" customWidth="1"/>
    <col min="8" max="8" width="21.140625" customWidth="1"/>
    <col min="9" max="9" width="23.28515625" customWidth="1"/>
    <col min="10" max="11" width="24.140625" hidden="1" customWidth="1"/>
    <col min="12" max="12" width="24.85546875" hidden="1" customWidth="1"/>
    <col min="13" max="17" width="20.5703125" hidden="1" customWidth="1"/>
    <col min="18" max="19" width="20.5703125" customWidth="1"/>
    <col min="20" max="28" width="20.5703125" hidden="1" customWidth="1"/>
    <col min="29" max="29" width="24.7109375" hidden="1" customWidth="1"/>
    <col min="30" max="31" width="15" customWidth="1"/>
    <col min="32" max="32" width="15" hidden="1" customWidth="1"/>
    <col min="33" max="33" width="35.140625" hidden="1" customWidth="1"/>
    <col min="34" max="34" width="43" customWidth="1"/>
    <col min="35" max="35" width="21.7109375" customWidth="1"/>
    <col min="36" max="36" width="15" customWidth="1"/>
    <col min="37" max="37" width="19.5703125" customWidth="1"/>
    <col min="38" max="38" width="20" bestFit="1" customWidth="1"/>
    <col min="39" max="39" width="20" customWidth="1"/>
    <col min="40" max="40" width="19.85546875" customWidth="1"/>
    <col min="41" max="41" width="15" customWidth="1"/>
    <col min="42" max="42" width="72.42578125" hidden="1" customWidth="1"/>
    <col min="43" max="43" width="43.7109375" bestFit="1" customWidth="1"/>
    <col min="44" max="44" width="33.5703125" bestFit="1" customWidth="1"/>
    <col min="45" max="45" width="30.85546875" bestFit="1" customWidth="1"/>
    <col min="46" max="46" width="50.85546875" customWidth="1"/>
  </cols>
  <sheetData>
    <row r="1" spans="1:46" x14ac:dyDescent="0.25">
      <c r="C1" s="108" t="s">
        <v>0</v>
      </c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 t="s">
        <v>89</v>
      </c>
      <c r="AF1" s="108"/>
      <c r="AG1" s="108"/>
      <c r="AH1" s="108"/>
      <c r="AI1" s="108" t="s">
        <v>2</v>
      </c>
      <c r="AJ1" s="108"/>
      <c r="AK1" s="108"/>
      <c r="AL1" s="108"/>
      <c r="AM1" s="108"/>
      <c r="AN1" s="108"/>
      <c r="AO1" s="108"/>
      <c r="AP1" t="s">
        <v>92</v>
      </c>
      <c r="AQ1" s="108" t="s">
        <v>3</v>
      </c>
      <c r="AR1" s="108"/>
      <c r="AS1" s="108"/>
      <c r="AT1" s="108"/>
    </row>
    <row r="2" spans="1:46" x14ac:dyDescent="0.25">
      <c r="A2" t="s">
        <v>4</v>
      </c>
      <c r="B2" t="s">
        <v>95</v>
      </c>
      <c r="C2" t="s">
        <v>5</v>
      </c>
      <c r="D2" t="s">
        <v>6</v>
      </c>
      <c r="E2" t="s">
        <v>165</v>
      </c>
      <c r="F2" t="s">
        <v>7</v>
      </c>
      <c r="G2" t="s">
        <v>8</v>
      </c>
      <c r="H2" t="s">
        <v>9</v>
      </c>
      <c r="I2" t="s">
        <v>10</v>
      </c>
      <c r="J2" s="5" t="s">
        <v>166</v>
      </c>
      <c r="K2" s="5" t="s">
        <v>167</v>
      </c>
      <c r="L2" s="5" t="s">
        <v>168</v>
      </c>
      <c r="M2" s="5" t="s">
        <v>169</v>
      </c>
      <c r="N2" s="5" t="s">
        <v>170</v>
      </c>
      <c r="O2" s="5" t="s">
        <v>178</v>
      </c>
      <c r="P2" s="5" t="s">
        <v>179</v>
      </c>
      <c r="Q2" s="5" t="s">
        <v>171</v>
      </c>
      <c r="R2" s="5" t="s">
        <v>180</v>
      </c>
      <c r="S2" s="5" t="s">
        <v>181</v>
      </c>
      <c r="T2" s="6" t="s">
        <v>172</v>
      </c>
      <c r="U2" s="6" t="s">
        <v>173</v>
      </c>
      <c r="V2" s="6" t="s">
        <v>174</v>
      </c>
      <c r="W2" s="6" t="s">
        <v>175</v>
      </c>
      <c r="X2" s="6" t="s">
        <v>176</v>
      </c>
      <c r="Y2" s="6" t="s">
        <v>182</v>
      </c>
      <c r="Z2" s="6" t="s">
        <v>184</v>
      </c>
      <c r="AA2" s="6" t="s">
        <v>177</v>
      </c>
      <c r="AB2" s="6" t="s">
        <v>183</v>
      </c>
      <c r="AC2" s="6" t="s">
        <v>185</v>
      </c>
      <c r="AD2" t="s">
        <v>87</v>
      </c>
      <c r="AE2" s="2" t="s">
        <v>94</v>
      </c>
      <c r="AF2" s="1" t="s">
        <v>15</v>
      </c>
      <c r="AG2" t="s">
        <v>90</v>
      </c>
      <c r="AH2" s="2" t="s">
        <v>93</v>
      </c>
      <c r="AI2" t="s">
        <v>16</v>
      </c>
      <c r="AJ2" t="s">
        <v>17</v>
      </c>
      <c r="AK2" t="s">
        <v>18</v>
      </c>
      <c r="AL2" t="s">
        <v>19</v>
      </c>
      <c r="AM2" t="s">
        <v>20</v>
      </c>
      <c r="AN2" t="s">
        <v>21</v>
      </c>
      <c r="AO2" t="s">
        <v>91</v>
      </c>
      <c r="AP2" t="s">
        <v>23</v>
      </c>
      <c r="AQ2" t="s">
        <v>24</v>
      </c>
      <c r="AR2" t="s">
        <v>25</v>
      </c>
      <c r="AS2" t="s">
        <v>26</v>
      </c>
      <c r="AT2" t="s">
        <v>27</v>
      </c>
    </row>
    <row r="3" spans="1:46" x14ac:dyDescent="0.25">
      <c r="A3" t="s">
        <v>28</v>
      </c>
      <c r="B3">
        <v>12.5623252127999</v>
      </c>
      <c r="C3">
        <v>0</v>
      </c>
      <c r="D3">
        <v>0</v>
      </c>
      <c r="E3">
        <v>1</v>
      </c>
      <c r="G3">
        <v>0</v>
      </c>
      <c r="H3">
        <v>0</v>
      </c>
      <c r="I3">
        <v>0</v>
      </c>
      <c r="J3" t="s">
        <v>189</v>
      </c>
      <c r="K3" t="s">
        <v>189</v>
      </c>
      <c r="L3" t="s">
        <v>189</v>
      </c>
      <c r="M3" t="s">
        <v>189</v>
      </c>
      <c r="N3" t="str">
        <f>IF(OR(J3="Utilize_High",J3="Utilize_Med",J3="Utilize_Low"),"Low",IF(J3="No_Change","Med","High"))</f>
        <v>Med</v>
      </c>
      <c r="O3" t="str">
        <f>IF(OR(K3="Utilize_High",K3="Utilize_Med",K3="Utilize_Low"),"Low",IF(K3="No_Change","Med","High"))</f>
        <v>Med</v>
      </c>
      <c r="P3" t="str">
        <f>IF(OR(L3="Utilize_High",L3="Utilize_Med",L3="Utilize_Low"),"Low",IF(L3="No_Change","Med","High"))</f>
        <v>Med</v>
      </c>
      <c r="Q3" t="str">
        <f>IF(OR(M3="Utilize_High",M3="Utilize_Med",M3="Utilize_Low"),"Low",IF(M3="No_Change","Med","High"))</f>
        <v>Med</v>
      </c>
      <c r="R3" t="str">
        <f>IF(N3=O3,N3,IF(OR(N3="High",O3="High"),"High",IF(OR(N3="Med",O3="Med"),"Med","Low")))</f>
        <v>Med</v>
      </c>
      <c r="S3" t="str">
        <f>IF(P3=Q3,P3,IF(OR(P3="High",Q3="High"),"High",IF(OR(P3="Med",Q3="Med"),"Med","Low")))</f>
        <v>Med</v>
      </c>
      <c r="T3" t="str">
        <f>VLOOKUP(A3,[1]R2R_N_corridors_Final50!$A$2:$AM$57,39,FALSE)</f>
        <v>No_Change</v>
      </c>
      <c r="U3" t="str">
        <f>VLOOKUP(A3,[1]R2R_N_corridors_Final50!$A$2:$AO$57,41,FALSE)</f>
        <v>No_Change</v>
      </c>
      <c r="V3" t="str">
        <f>VLOOKUP(A3,[1]R2R_N_corridors_Final50!$A$2:$AN$57,40,FALSE)</f>
        <v>No_Change</v>
      </c>
      <c r="W3" t="str">
        <f>VLOOKUP(A3,[1]R2R_N_corridors_Final50!$A$2:$AP$57,42,FALSE)</f>
        <v>No_Change</v>
      </c>
      <c r="X3" t="str">
        <f>IF(OR(T3="Utilize_High",T3="Utilize_Med",T3="Utilize_Low"),"Low",IF(T3="No_Change","Med","High"))</f>
        <v>Med</v>
      </c>
      <c r="Y3" t="str">
        <f>IF(OR(U3="Utilize_High",U3="Utilize_Med",U3="Utilize_Low"),"Low",IF(U3="No_Change","Med","High"))</f>
        <v>Med</v>
      </c>
      <c r="Z3" t="str">
        <f>IF(OR(V3="Utilize_High",V3="Utilize_Med",V3="Utilize_Low"),"Low",IF(V3="No_Change","Med","High"))</f>
        <v>Med</v>
      </c>
      <c r="AA3" t="str">
        <f>IF(OR(W3="Utilize_High",W3="Utilize_Med",W3="Utilize_Low"),"Low",IF(W3="No_Change","Med","High"))</f>
        <v>Med</v>
      </c>
      <c r="AB3" t="str">
        <f>IF(X3=Y3,X3,IF(OR(X3="High",Y3="High"),"High",IF(OR(X3="Med",Y3="Med"),"Med","Low")))</f>
        <v>Med</v>
      </c>
      <c r="AC3" t="str">
        <f>IF(Z3=AA3,Z3,IF(OR(Z3="High",AA3="High"),"High",IF(OR(Z3="Med",AA3="Med"),"Med","Low")))</f>
        <v>Med</v>
      </c>
      <c r="AD3" t="str">
        <f>VLOOKUP(A3,MultimodalConnectivity_Corridor!$A$2:$K$57,11,FALSE)</f>
        <v>Low</v>
      </c>
      <c r="AE3">
        <f>VLOOKUP(A3,[2]METRICS!$AA$2:$AC$70,3,FALSE)</f>
        <v>0</v>
      </c>
      <c r="AG3">
        <v>0</v>
      </c>
      <c r="AH3">
        <f>VLOOKUP(A3,[2]METRICS!$AA$2:$AD$70,4,FALSE)</f>
        <v>0</v>
      </c>
      <c r="AI3">
        <v>0</v>
      </c>
      <c r="AJ3">
        <v>100</v>
      </c>
      <c r="AK3">
        <v>0</v>
      </c>
      <c r="AL3">
        <v>1</v>
      </c>
      <c r="AM3">
        <v>2.5482162263807573</v>
      </c>
      <c r="AN3">
        <v>0</v>
      </c>
      <c r="AO3">
        <v>1</v>
      </c>
      <c r="AQ3">
        <v>209</v>
      </c>
      <c r="AR3">
        <v>1.4</v>
      </c>
      <c r="AS3">
        <v>2</v>
      </c>
      <c r="AT3" t="s">
        <v>30</v>
      </c>
    </row>
    <row r="4" spans="1:46" x14ac:dyDescent="0.25">
      <c r="A4" t="s">
        <v>31</v>
      </c>
      <c r="B4">
        <v>19.5548964086999</v>
      </c>
      <c r="C4">
        <v>8.9692533258034432E-2</v>
      </c>
      <c r="D4">
        <v>0.11675095947231978</v>
      </c>
      <c r="E4">
        <v>1</v>
      </c>
      <c r="G4">
        <v>0</v>
      </c>
      <c r="H4">
        <v>0</v>
      </c>
      <c r="I4">
        <v>0</v>
      </c>
      <c r="J4" t="s">
        <v>190</v>
      </c>
      <c r="K4" t="s">
        <v>190</v>
      </c>
      <c r="L4" t="s">
        <v>191</v>
      </c>
      <c r="M4" t="s">
        <v>191</v>
      </c>
      <c r="N4" t="str">
        <f t="shared" ref="N4:N58" si="0">IF(OR(J4="Utilize_High",J4="Utilize_Med",J4="Utilize_Low"),"Low",IF(J4="No_Change","Med","High"))</f>
        <v>High</v>
      </c>
      <c r="O4" t="str">
        <f t="shared" ref="O4:O58" si="1">IF(OR(K4="Utilize_High",K4="Utilize_Med",K4="Utilize_Low"),"Low",IF(K4="No_Change","Med","High"))</f>
        <v>High</v>
      </c>
      <c r="P4" t="str">
        <f t="shared" ref="P4:P58" si="2">IF(OR(L4="Utilize_High",L4="Utilize_Med",L4="Utilize_Low"),"Low",IF(L4="No_Change","Med","High"))</f>
        <v>High</v>
      </c>
      <c r="Q4" t="str">
        <f t="shared" ref="Q4:Q58" si="3">IF(OR(M4="Utilize_High",M4="Utilize_Med",M4="Utilize_Low"),"Low",IF(M4="No_Change","Med","High"))</f>
        <v>High</v>
      </c>
      <c r="R4" t="str">
        <f t="shared" ref="R4:R58" si="4">IF(N4=O4,N4,IF(OR(N4="High",O4="High"),"High",IF(OR(N4="Med",O4="Med"),"Med","Low")))</f>
        <v>High</v>
      </c>
      <c r="S4" t="str">
        <f t="shared" ref="S4:S58" si="5">IF(P4=Q4,P4,IF(OR(P4="High",Q4="High"),"High",IF(OR(P4="Med",Q4="Med"),"Med","Low")))</f>
        <v>High</v>
      </c>
      <c r="T4" t="str">
        <f>VLOOKUP(A4,[1]R2R_N_corridors_Final50!$A$2:$AM$57,39,FALSE)</f>
        <v>Avoid_Low</v>
      </c>
      <c r="U4" t="str">
        <f>VLOOKUP(A4,[1]R2R_N_corridors_Final50!$A$2:$AO$57,41,FALSE)</f>
        <v>Avoid_Low</v>
      </c>
      <c r="V4" t="str">
        <f>VLOOKUP(A4,[1]R2R_N_corridors_Final50!$A$2:$AN$57,40,FALSE)</f>
        <v>Avoid_High</v>
      </c>
      <c r="W4" t="str">
        <f>VLOOKUP(A4,[1]R2R_N_corridors_Final50!$A$2:$AP$57,42,FALSE)</f>
        <v>Avoid_High</v>
      </c>
      <c r="X4" t="str">
        <f t="shared" ref="X4:X58" si="6">IF(OR(T4="Utilize_High",T4="Utilize_Med",T4="Utilize_Low"),"Low",IF(T4="No_Change","Med","High"))</f>
        <v>High</v>
      </c>
      <c r="Y4" t="str">
        <f t="shared" ref="Y4:Y58" si="7">IF(OR(U4="Utilize_High",U4="Utilize_Med",U4="Utilize_Low"),"Low",IF(U4="No_Change","Med","High"))</f>
        <v>High</v>
      </c>
      <c r="Z4" t="str">
        <f t="shared" ref="Z4:Z58" si="8">IF(OR(V4="Utilize_High",V4="Utilize_Med",V4="Utilize_Low"),"Low",IF(V4="No_Change","Med","High"))</f>
        <v>High</v>
      </c>
      <c r="AA4" t="str">
        <f t="shared" ref="AA4:AA58" si="9">IF(OR(W4="Utilize_High",W4="Utilize_Med",W4="Utilize_Low"),"Low",IF(W4="No_Change","Med","High"))</f>
        <v>High</v>
      </c>
      <c r="AB4" t="str">
        <f t="shared" ref="AB4:AB58" si="10">IF(X4=Y4,X4,IF(OR(X4="High",Y4="High"),"High",IF(OR(X4="Med",Y4="Med"),"Med","Low")))</f>
        <v>High</v>
      </c>
      <c r="AC4" t="str">
        <f t="shared" ref="AC4:AC58" si="11">IF(Z4=AA4,Z4,IF(OR(Z4="High",AA4="High"),"High",IF(OR(Z4="Med",AA4="Med"),"Med","Low")))</f>
        <v>High</v>
      </c>
      <c r="AD4" t="str">
        <f>VLOOKUP(A4,MultimodalConnectivity_Corridor!$A$2:$K$57,11,FALSE)</f>
        <v>Low</v>
      </c>
      <c r="AE4">
        <f>VLOOKUP(A4,[2]METRICS!$AA$2:$AC$70,3,FALSE)</f>
        <v>8479.4643928007117</v>
      </c>
      <c r="AG4">
        <v>0</v>
      </c>
      <c r="AH4">
        <f>VLOOKUP(A4,[2]METRICS!$AA$2:$AD$70,4,FALSE)</f>
        <v>0</v>
      </c>
      <c r="AI4">
        <v>0</v>
      </c>
      <c r="AJ4">
        <v>89.065645000000004</v>
      </c>
      <c r="AK4">
        <v>6.6052629999999999</v>
      </c>
      <c r="AL4">
        <v>1.1051688906493053</v>
      </c>
      <c r="AM4">
        <v>1.0008768271239319</v>
      </c>
      <c r="AN4">
        <v>0</v>
      </c>
      <c r="AO4">
        <v>1.0499295687825763</v>
      </c>
      <c r="AQ4">
        <v>101.45</v>
      </c>
      <c r="AR4">
        <v>0.2</v>
      </c>
      <c r="AS4">
        <v>2</v>
      </c>
      <c r="AT4" t="s">
        <v>29</v>
      </c>
    </row>
    <row r="5" spans="1:46" x14ac:dyDescent="0.25">
      <c r="A5" t="s">
        <v>33</v>
      </c>
      <c r="B5">
        <v>13.9860489811</v>
      </c>
      <c r="C5">
        <v>4.5740773432559029E-2</v>
      </c>
      <c r="D5">
        <v>6.815768019365237E-2</v>
      </c>
      <c r="E5">
        <v>1</v>
      </c>
      <c r="G5">
        <v>0</v>
      </c>
      <c r="H5">
        <v>0</v>
      </c>
      <c r="I5">
        <v>0</v>
      </c>
      <c r="J5" t="s">
        <v>187</v>
      </c>
      <c r="K5" t="s">
        <v>187</v>
      </c>
      <c r="L5" t="s">
        <v>192</v>
      </c>
      <c r="M5" t="s">
        <v>192</v>
      </c>
      <c r="N5" t="str">
        <f t="shared" si="0"/>
        <v>Low</v>
      </c>
      <c r="O5" t="str">
        <f t="shared" si="1"/>
        <v>Low</v>
      </c>
      <c r="P5" t="str">
        <f t="shared" si="2"/>
        <v>Low</v>
      </c>
      <c r="Q5" t="str">
        <f t="shared" si="3"/>
        <v>Low</v>
      </c>
      <c r="R5" t="str">
        <f t="shared" si="4"/>
        <v>Low</v>
      </c>
      <c r="S5" t="str">
        <f t="shared" si="5"/>
        <v>Low</v>
      </c>
      <c r="T5" t="str">
        <f>VLOOKUP(A5,[1]R2R_N_corridors_Final50!$A$2:$AM$57,39,FALSE)</f>
        <v>Utilize_High</v>
      </c>
      <c r="U5" t="str">
        <f>VLOOKUP(A5,[1]R2R_N_corridors_Final50!$A$2:$AO$57,41,FALSE)</f>
        <v>Utilize_High</v>
      </c>
      <c r="V5" t="str">
        <f>VLOOKUP(A5,[1]R2R_N_corridors_Final50!$A$2:$AN$57,40,FALSE)</f>
        <v>Utilize_High</v>
      </c>
      <c r="W5" t="str">
        <f>VLOOKUP(A5,[1]R2R_N_corridors_Final50!$A$2:$AP$57,42,FALSE)</f>
        <v>Utilize_High</v>
      </c>
      <c r="X5" t="str">
        <f t="shared" si="6"/>
        <v>Low</v>
      </c>
      <c r="Y5" t="str">
        <f t="shared" si="7"/>
        <v>Low</v>
      </c>
      <c r="Z5" t="str">
        <f t="shared" si="8"/>
        <v>Low</v>
      </c>
      <c r="AA5" t="str">
        <f t="shared" si="9"/>
        <v>Low</v>
      </c>
      <c r="AB5" t="str">
        <f t="shared" si="10"/>
        <v>Low</v>
      </c>
      <c r="AC5" t="str">
        <f t="shared" si="11"/>
        <v>Low</v>
      </c>
      <c r="AD5" t="str">
        <f>VLOOKUP(A5,MultimodalConnectivity_Corridor!$A$2:$K$57,11,FALSE)</f>
        <v>Low</v>
      </c>
      <c r="AE5">
        <f>VLOOKUP(A5,[2]METRICS!$AA$2:$AC$70,3,FALSE)</f>
        <v>8375.8624083221421</v>
      </c>
      <c r="AG5">
        <v>0</v>
      </c>
      <c r="AH5">
        <f>VLOOKUP(A5,[2]METRICS!$AA$2:$AD$70,4,FALSE)</f>
        <v>1.0102E-2</v>
      </c>
      <c r="AI5">
        <v>0</v>
      </c>
      <c r="AJ5">
        <v>100</v>
      </c>
      <c r="AK5">
        <v>3</v>
      </c>
      <c r="AL5">
        <v>1.0780987074713797</v>
      </c>
      <c r="AM5">
        <v>1.0006468854533763</v>
      </c>
      <c r="AN5">
        <v>0</v>
      </c>
      <c r="AO5">
        <v>1</v>
      </c>
      <c r="AQ5">
        <v>516.1</v>
      </c>
      <c r="AR5">
        <v>5.9</v>
      </c>
      <c r="AS5">
        <v>3</v>
      </c>
      <c r="AT5" t="s">
        <v>30</v>
      </c>
    </row>
    <row r="6" spans="1:46" x14ac:dyDescent="0.25">
      <c r="A6" t="s">
        <v>34</v>
      </c>
      <c r="B6">
        <v>97.643793810199895</v>
      </c>
      <c r="C6">
        <v>4.6073154235638535E-2</v>
      </c>
      <c r="D6">
        <v>4.2790413811721925E-2</v>
      </c>
      <c r="E6">
        <v>1</v>
      </c>
      <c r="G6">
        <v>0</v>
      </c>
      <c r="H6">
        <v>0</v>
      </c>
      <c r="I6">
        <v>0</v>
      </c>
      <c r="J6" t="s">
        <v>192</v>
      </c>
      <c r="K6" t="s">
        <v>192</v>
      </c>
      <c r="L6" t="s">
        <v>188</v>
      </c>
      <c r="M6" t="s">
        <v>188</v>
      </c>
      <c r="N6" t="str">
        <f t="shared" si="0"/>
        <v>Low</v>
      </c>
      <c r="O6" t="str">
        <f t="shared" si="1"/>
        <v>Low</v>
      </c>
      <c r="P6" t="str">
        <f t="shared" si="2"/>
        <v>High</v>
      </c>
      <c r="Q6" t="str">
        <f t="shared" si="3"/>
        <v>High</v>
      </c>
      <c r="R6" t="str">
        <f t="shared" si="4"/>
        <v>Low</v>
      </c>
      <c r="S6" t="str">
        <f t="shared" si="5"/>
        <v>High</v>
      </c>
      <c r="T6" t="str">
        <f>VLOOKUP(A6,[1]R2R_N_corridors_Final50!$A$2:$AM$57,39,FALSE)</f>
        <v>Utilize_Low</v>
      </c>
      <c r="U6" t="str">
        <f>VLOOKUP(A6,[1]R2R_N_corridors_Final50!$A$2:$AO$57,41,FALSE)</f>
        <v>Utilize_Low</v>
      </c>
      <c r="V6" t="str">
        <f>VLOOKUP(A6,[1]R2R_N_corridors_Final50!$A$2:$AN$57,40,FALSE)</f>
        <v>Avoid_Med</v>
      </c>
      <c r="W6" t="str">
        <f>VLOOKUP(A6,[1]R2R_N_corridors_Final50!$A$2:$AP$57,42,FALSE)</f>
        <v>Avoid_Med</v>
      </c>
      <c r="X6" t="str">
        <f t="shared" si="6"/>
        <v>Low</v>
      </c>
      <c r="Y6" t="str">
        <f t="shared" si="7"/>
        <v>Low</v>
      </c>
      <c r="Z6" t="str">
        <f t="shared" si="8"/>
        <v>High</v>
      </c>
      <c r="AA6" t="str">
        <f t="shared" si="9"/>
        <v>High</v>
      </c>
      <c r="AB6" t="str">
        <f t="shared" si="10"/>
        <v>Low</v>
      </c>
      <c r="AC6" t="str">
        <f t="shared" si="11"/>
        <v>High</v>
      </c>
      <c r="AD6" t="str">
        <f>VLOOKUP(A6,MultimodalConnectivity_Corridor!$A$2:$K$57,11,FALSE)</f>
        <v>Low</v>
      </c>
      <c r="AE6">
        <f>VLOOKUP(A6,[2]METRICS!$AA$2:$AC$70,3,FALSE)</f>
        <v>8709.6247791800379</v>
      </c>
      <c r="AG6">
        <v>1</v>
      </c>
      <c r="AH6">
        <f>VLOOKUP(A6,[2]METRICS!$AA$2:$AD$70,4,FALSE)</f>
        <v>0</v>
      </c>
      <c r="AI6">
        <v>0</v>
      </c>
      <c r="AJ6">
        <v>99.089982000000006</v>
      </c>
      <c r="AK6">
        <v>2.917808</v>
      </c>
      <c r="AL6">
        <v>1.9035960857432681</v>
      </c>
      <c r="AM6">
        <v>1.0224717432033879</v>
      </c>
      <c r="AN6">
        <v>0</v>
      </c>
      <c r="AO6">
        <v>1</v>
      </c>
      <c r="AQ6">
        <v>356.9</v>
      </c>
      <c r="AR6">
        <v>1.3</v>
      </c>
      <c r="AS6">
        <v>9</v>
      </c>
      <c r="AT6" t="s">
        <v>29</v>
      </c>
    </row>
    <row r="7" spans="1:46" x14ac:dyDescent="0.25">
      <c r="A7" t="s">
        <v>35</v>
      </c>
      <c r="B7">
        <v>76.826502077599898</v>
      </c>
      <c r="C7">
        <v>2.3055080594762547E-2</v>
      </c>
      <c r="D7">
        <v>2.3518185525741257E-2</v>
      </c>
      <c r="E7">
        <v>1</v>
      </c>
      <c r="G7">
        <v>0</v>
      </c>
      <c r="H7">
        <v>0</v>
      </c>
      <c r="I7">
        <v>0</v>
      </c>
      <c r="J7" t="s">
        <v>186</v>
      </c>
      <c r="K7" t="s">
        <v>186</v>
      </c>
      <c r="L7" t="s">
        <v>187</v>
      </c>
      <c r="M7" t="s">
        <v>187</v>
      </c>
      <c r="N7" t="str">
        <f t="shared" si="0"/>
        <v>Low</v>
      </c>
      <c r="O7" t="str">
        <f t="shared" si="1"/>
        <v>Low</v>
      </c>
      <c r="P7" t="str">
        <f t="shared" si="2"/>
        <v>Low</v>
      </c>
      <c r="Q7" t="str">
        <f t="shared" si="3"/>
        <v>Low</v>
      </c>
      <c r="R7" t="str">
        <f t="shared" si="4"/>
        <v>Low</v>
      </c>
      <c r="S7" t="str">
        <f t="shared" si="5"/>
        <v>Low</v>
      </c>
      <c r="T7" t="str">
        <f>VLOOKUP(A7,[1]R2R_N_corridors_Final50!$A$2:$AM$57,39,FALSE)</f>
        <v>Utilize_Low</v>
      </c>
      <c r="U7" t="str">
        <f>VLOOKUP(A7,[1]R2R_N_corridors_Final50!$A$2:$AO$57,41,FALSE)</f>
        <v>Utilize_Med</v>
      </c>
      <c r="V7" t="str">
        <f>VLOOKUP(A7,[1]R2R_N_corridors_Final50!$A$2:$AN$57,40,FALSE)</f>
        <v>Utilize_High</v>
      </c>
      <c r="W7" t="str">
        <f>VLOOKUP(A7,[1]R2R_N_corridors_Final50!$A$2:$AP$57,42,FALSE)</f>
        <v>Utilize_High</v>
      </c>
      <c r="X7" t="str">
        <f t="shared" si="6"/>
        <v>Low</v>
      </c>
      <c r="Y7" t="str">
        <f t="shared" si="7"/>
        <v>Low</v>
      </c>
      <c r="Z7" t="str">
        <f t="shared" si="8"/>
        <v>Low</v>
      </c>
      <c r="AA7" t="str">
        <f t="shared" si="9"/>
        <v>Low</v>
      </c>
      <c r="AB7" t="str">
        <f t="shared" si="10"/>
        <v>Low</v>
      </c>
      <c r="AC7" t="str">
        <f t="shared" si="11"/>
        <v>Low</v>
      </c>
      <c r="AD7" t="str">
        <f>VLOOKUP(A7,MultimodalConnectivity_Corridor!$A$2:$K$57,11,FALSE)</f>
        <v>Low</v>
      </c>
      <c r="AE7">
        <f>VLOOKUP(A7,[2]METRICS!$AA$2:$AC$70,3,FALSE)</f>
        <v>11762.504214589699</v>
      </c>
      <c r="AG7">
        <v>0</v>
      </c>
      <c r="AH7">
        <f>VLOOKUP(A7,[2]METRICS!$AA$2:$AD$70,4,FALSE)</f>
        <v>6.9096669999999998</v>
      </c>
      <c r="AI7">
        <v>0</v>
      </c>
      <c r="AJ7">
        <v>100</v>
      </c>
      <c r="AK7">
        <v>2.3098589999999999</v>
      </c>
      <c r="AL7">
        <v>1.1376486086984923</v>
      </c>
      <c r="AM7">
        <v>1.0216354076709926</v>
      </c>
      <c r="AN7">
        <v>0</v>
      </c>
      <c r="AO7">
        <v>1</v>
      </c>
      <c r="AQ7">
        <v>419.65</v>
      </c>
      <c r="AR7">
        <v>2.1</v>
      </c>
      <c r="AS7">
        <v>2</v>
      </c>
      <c r="AT7" t="s">
        <v>29</v>
      </c>
    </row>
    <row r="8" spans="1:46" x14ac:dyDescent="0.25">
      <c r="A8" t="s">
        <v>36</v>
      </c>
      <c r="B8">
        <v>3.4067871411100001</v>
      </c>
      <c r="C8">
        <v>0</v>
      </c>
      <c r="D8">
        <v>0</v>
      </c>
      <c r="E8">
        <v>1</v>
      </c>
      <c r="G8">
        <v>0</v>
      </c>
      <c r="H8">
        <v>0</v>
      </c>
      <c r="I8">
        <v>0</v>
      </c>
      <c r="J8" t="s">
        <v>189</v>
      </c>
      <c r="K8" t="s">
        <v>189</v>
      </c>
      <c r="L8" t="s">
        <v>189</v>
      </c>
      <c r="M8" t="s">
        <v>189</v>
      </c>
      <c r="N8" t="str">
        <f t="shared" si="0"/>
        <v>Med</v>
      </c>
      <c r="O8" t="str">
        <f t="shared" si="1"/>
        <v>Med</v>
      </c>
      <c r="P8" t="str">
        <f t="shared" si="2"/>
        <v>Med</v>
      </c>
      <c r="Q8" t="str">
        <f t="shared" si="3"/>
        <v>Med</v>
      </c>
      <c r="R8" t="str">
        <f t="shared" si="4"/>
        <v>Med</v>
      </c>
      <c r="S8" t="str">
        <f t="shared" si="5"/>
        <v>Med</v>
      </c>
      <c r="T8" t="str">
        <f>VLOOKUP(A8,[1]R2R_N_corridors_Final50!$A$2:$AM$57,39,FALSE)</f>
        <v>No_Change</v>
      </c>
      <c r="U8" t="str">
        <f>VLOOKUP(A8,[1]R2R_N_corridors_Final50!$A$2:$AO$57,41,FALSE)</f>
        <v>No_Change</v>
      </c>
      <c r="V8" t="str">
        <f>VLOOKUP(A8,[1]R2R_N_corridors_Final50!$A$2:$AN$57,40,FALSE)</f>
        <v>No_Change</v>
      </c>
      <c r="W8" t="str">
        <f>VLOOKUP(A8,[1]R2R_N_corridors_Final50!$A$2:$AP$57,42,FALSE)</f>
        <v>No_Change</v>
      </c>
      <c r="X8" t="str">
        <f t="shared" si="6"/>
        <v>Med</v>
      </c>
      <c r="Y8" t="str">
        <f t="shared" si="7"/>
        <v>Med</v>
      </c>
      <c r="Z8" t="str">
        <f t="shared" si="8"/>
        <v>Med</v>
      </c>
      <c r="AA8" t="str">
        <f t="shared" si="9"/>
        <v>Med</v>
      </c>
      <c r="AB8" t="str">
        <f t="shared" si="10"/>
        <v>Med</v>
      </c>
      <c r="AC8" t="str">
        <f t="shared" si="11"/>
        <v>Med</v>
      </c>
      <c r="AD8" t="str">
        <f>VLOOKUP(A8,MultimodalConnectivity_Corridor!$A$2:$K$57,11,FALSE)</f>
        <v>Low</v>
      </c>
      <c r="AE8">
        <f>VLOOKUP(A8,[2]METRICS!$AA$2:$AC$70,3,FALSE)</f>
        <v>30777.863990427129</v>
      </c>
      <c r="AG8">
        <v>0</v>
      </c>
      <c r="AH8">
        <f>VLOOKUP(A8,[2]METRICS!$AA$2:$AD$70,4,FALSE)</f>
        <v>0</v>
      </c>
      <c r="AI8">
        <v>0</v>
      </c>
      <c r="AJ8">
        <v>100</v>
      </c>
      <c r="AK8">
        <v>7.6</v>
      </c>
      <c r="AL8">
        <v>1</v>
      </c>
      <c r="AM8">
        <v>1.0149522237183124</v>
      </c>
      <c r="AN8">
        <v>0</v>
      </c>
      <c r="AO8">
        <v>1</v>
      </c>
      <c r="AQ8">
        <v>223.45</v>
      </c>
      <c r="AR8">
        <v>0.8</v>
      </c>
      <c r="AS8">
        <v>0</v>
      </c>
      <c r="AT8" t="s">
        <v>29</v>
      </c>
    </row>
    <row r="9" spans="1:46" x14ac:dyDescent="0.25">
      <c r="A9" t="s">
        <v>37</v>
      </c>
      <c r="B9">
        <v>27.275757023800001</v>
      </c>
      <c r="C9">
        <v>6.9433941812591729E-2</v>
      </c>
      <c r="D9">
        <v>8.3122253320184553E-2</v>
      </c>
      <c r="E9">
        <v>1</v>
      </c>
      <c r="G9">
        <v>0</v>
      </c>
      <c r="H9">
        <v>0</v>
      </c>
      <c r="I9">
        <v>0</v>
      </c>
      <c r="J9" t="s">
        <v>186</v>
      </c>
      <c r="K9" t="s">
        <v>186</v>
      </c>
      <c r="L9" t="s">
        <v>186</v>
      </c>
      <c r="M9" t="s">
        <v>186</v>
      </c>
      <c r="N9" t="str">
        <f t="shared" si="0"/>
        <v>Low</v>
      </c>
      <c r="O9" t="str">
        <f t="shared" si="1"/>
        <v>Low</v>
      </c>
      <c r="P9" t="str">
        <f t="shared" si="2"/>
        <v>Low</v>
      </c>
      <c r="Q9" t="str">
        <f t="shared" si="3"/>
        <v>Low</v>
      </c>
      <c r="R9" t="str">
        <f t="shared" si="4"/>
        <v>Low</v>
      </c>
      <c r="S9" t="str">
        <f t="shared" si="5"/>
        <v>Low</v>
      </c>
      <c r="T9" t="str">
        <f>VLOOKUP(A9,[1]R2R_N_corridors_Final50!$A$2:$AM$57,39,FALSE)</f>
        <v>Utilize_Med</v>
      </c>
      <c r="U9" t="str">
        <f>VLOOKUP(A9,[1]R2R_N_corridors_Final50!$A$2:$AO$57,41,FALSE)</f>
        <v>Utilize_Med</v>
      </c>
      <c r="V9" t="str">
        <f>VLOOKUP(A9,[1]R2R_N_corridors_Final50!$A$2:$AN$57,40,FALSE)</f>
        <v>Utilize_Med</v>
      </c>
      <c r="W9" t="str">
        <f>VLOOKUP(A9,[1]R2R_N_corridors_Final50!$A$2:$AP$57,42,FALSE)</f>
        <v>Utilize_Med</v>
      </c>
      <c r="X9" t="str">
        <f t="shared" si="6"/>
        <v>Low</v>
      </c>
      <c r="Y9" t="str">
        <f t="shared" si="7"/>
        <v>Low</v>
      </c>
      <c r="Z9" t="str">
        <f t="shared" si="8"/>
        <v>Low</v>
      </c>
      <c r="AA9" t="str">
        <f t="shared" si="9"/>
        <v>Low</v>
      </c>
      <c r="AB9" t="str">
        <f t="shared" si="10"/>
        <v>Low</v>
      </c>
      <c r="AC9" t="str">
        <f t="shared" si="11"/>
        <v>Low</v>
      </c>
      <c r="AD9" t="str">
        <f>VLOOKUP(A9,MultimodalConnectivity_Corridor!$A$2:$K$57,11,FALSE)</f>
        <v>Low</v>
      </c>
      <c r="AE9">
        <f>VLOOKUP(A9,[2]METRICS!$AA$2:$AC$70,3,FALSE)</f>
        <v>629666.78271556285</v>
      </c>
      <c r="AG9">
        <v>0</v>
      </c>
      <c r="AH9">
        <f>VLOOKUP(A9,[2]METRICS!$AA$2:$AD$70,4,FALSE)</f>
        <v>0</v>
      </c>
      <c r="AI9">
        <v>0</v>
      </c>
      <c r="AJ9">
        <v>99.978005999999993</v>
      </c>
      <c r="AK9">
        <v>6.9259259999999996</v>
      </c>
      <c r="AL9">
        <v>1</v>
      </c>
      <c r="AM9">
        <v>1</v>
      </c>
      <c r="AN9">
        <v>0</v>
      </c>
      <c r="AO9">
        <v>1</v>
      </c>
      <c r="AQ9">
        <v>525.1</v>
      </c>
      <c r="AR9">
        <v>5.2</v>
      </c>
      <c r="AS9">
        <v>3</v>
      </c>
      <c r="AT9" t="s">
        <v>30</v>
      </c>
    </row>
    <row r="10" spans="1:46" x14ac:dyDescent="0.25">
      <c r="A10" t="s">
        <v>38</v>
      </c>
      <c r="B10">
        <v>60.320465667299899</v>
      </c>
      <c r="C10">
        <v>6.979895661152026E-2</v>
      </c>
      <c r="D10">
        <v>8.1901682601894926E-2</v>
      </c>
      <c r="E10">
        <v>1</v>
      </c>
      <c r="G10">
        <v>0</v>
      </c>
      <c r="H10">
        <v>0</v>
      </c>
      <c r="I10">
        <v>0</v>
      </c>
      <c r="J10" t="s">
        <v>190</v>
      </c>
      <c r="K10" t="s">
        <v>190</v>
      </c>
      <c r="L10" t="s">
        <v>190</v>
      </c>
      <c r="M10" t="s">
        <v>190</v>
      </c>
      <c r="N10" t="str">
        <f t="shared" si="0"/>
        <v>High</v>
      </c>
      <c r="O10" t="str">
        <f t="shared" si="1"/>
        <v>High</v>
      </c>
      <c r="P10" t="str">
        <f t="shared" si="2"/>
        <v>High</v>
      </c>
      <c r="Q10" t="str">
        <f t="shared" si="3"/>
        <v>High</v>
      </c>
      <c r="R10" t="str">
        <f t="shared" si="4"/>
        <v>High</v>
      </c>
      <c r="S10" t="str">
        <f t="shared" si="5"/>
        <v>High</v>
      </c>
      <c r="T10" t="str">
        <f>VLOOKUP(A10,[1]R2R_N_corridors_Final50!$A$2:$AM$57,39,FALSE)</f>
        <v>Utilize_Med</v>
      </c>
      <c r="U10" t="str">
        <f>VLOOKUP(A10,[1]R2R_N_corridors_Final50!$A$2:$AO$57,41,FALSE)</f>
        <v>Utilize_Med</v>
      </c>
      <c r="V10" t="str">
        <f>VLOOKUP(A10,[1]R2R_N_corridors_Final50!$A$2:$AN$57,40,FALSE)</f>
        <v>Utilize_High</v>
      </c>
      <c r="W10" t="str">
        <f>VLOOKUP(A10,[1]R2R_N_corridors_Final50!$A$2:$AP$57,42,FALSE)</f>
        <v>Utilize_High</v>
      </c>
      <c r="X10" t="str">
        <f t="shared" si="6"/>
        <v>Low</v>
      </c>
      <c r="Y10" t="str">
        <f t="shared" si="7"/>
        <v>Low</v>
      </c>
      <c r="Z10" t="str">
        <f t="shared" si="8"/>
        <v>Low</v>
      </c>
      <c r="AA10" t="str">
        <f t="shared" si="9"/>
        <v>Low</v>
      </c>
      <c r="AB10" t="str">
        <f t="shared" si="10"/>
        <v>Low</v>
      </c>
      <c r="AC10" t="str">
        <f t="shared" si="11"/>
        <v>Low</v>
      </c>
      <c r="AD10" t="str">
        <f>VLOOKUP(A10,MultimodalConnectivity_Corridor!$A$2:$K$57,11,FALSE)</f>
        <v>Med</v>
      </c>
      <c r="AE10">
        <f>VLOOKUP(A10,[2]METRICS!$AA$2:$AC$70,3,FALSE)</f>
        <v>17975.935296446409</v>
      </c>
      <c r="AG10">
        <v>0</v>
      </c>
      <c r="AH10">
        <f>VLOOKUP(A10,[2]METRICS!$AA$2:$AD$70,4,FALSE)</f>
        <v>0</v>
      </c>
      <c r="AI10">
        <v>0</v>
      </c>
      <c r="AJ10">
        <v>92.700379999999996</v>
      </c>
      <c r="AK10">
        <v>7.084746</v>
      </c>
      <c r="AL10">
        <v>1.9831411145675404</v>
      </c>
      <c r="AM10">
        <v>1.0040727752722136</v>
      </c>
      <c r="AN10">
        <v>0</v>
      </c>
      <c r="AO10">
        <v>1</v>
      </c>
      <c r="AQ10">
        <v>447.4</v>
      </c>
      <c r="AR10">
        <v>3.1</v>
      </c>
      <c r="AS10">
        <v>3</v>
      </c>
      <c r="AT10" t="s">
        <v>32</v>
      </c>
    </row>
    <row r="11" spans="1:46" x14ac:dyDescent="0.25">
      <c r="A11" t="s">
        <v>39</v>
      </c>
      <c r="B11">
        <v>20.004861967899899</v>
      </c>
      <c r="C11">
        <v>5.3623240278391576E-2</v>
      </c>
      <c r="D11">
        <v>8.0120369248574297E-2</v>
      </c>
      <c r="E11">
        <v>1</v>
      </c>
      <c r="G11">
        <v>0</v>
      </c>
      <c r="H11">
        <v>0</v>
      </c>
      <c r="I11">
        <v>0</v>
      </c>
      <c r="J11" t="s">
        <v>186</v>
      </c>
      <c r="K11" t="s">
        <v>186</v>
      </c>
      <c r="L11" t="s">
        <v>186</v>
      </c>
      <c r="M11" t="s">
        <v>186</v>
      </c>
      <c r="N11" t="str">
        <f t="shared" si="0"/>
        <v>Low</v>
      </c>
      <c r="O11" t="str">
        <f t="shared" si="1"/>
        <v>Low</v>
      </c>
      <c r="P11" t="str">
        <f t="shared" si="2"/>
        <v>Low</v>
      </c>
      <c r="Q11" t="str">
        <f t="shared" si="3"/>
        <v>Low</v>
      </c>
      <c r="R11" t="str">
        <f t="shared" si="4"/>
        <v>Low</v>
      </c>
      <c r="S11" t="str">
        <f t="shared" si="5"/>
        <v>Low</v>
      </c>
      <c r="T11" t="str">
        <f>VLOOKUP(A11,[1]R2R_N_corridors_Final50!$A$2:$AM$57,39,FALSE)</f>
        <v>Utilize_High</v>
      </c>
      <c r="U11" t="str">
        <f>VLOOKUP(A11,[1]R2R_N_corridors_Final50!$A$2:$AO$57,41,FALSE)</f>
        <v>Utilize_High</v>
      </c>
      <c r="V11" t="str">
        <f>VLOOKUP(A11,[1]R2R_N_corridors_Final50!$A$2:$AN$57,40,FALSE)</f>
        <v>Utilize_Med</v>
      </c>
      <c r="W11" t="str">
        <f>VLOOKUP(A11,[1]R2R_N_corridors_Final50!$A$2:$AP$57,42,FALSE)</f>
        <v>Utilize_Med</v>
      </c>
      <c r="X11" t="str">
        <f t="shared" si="6"/>
        <v>Low</v>
      </c>
      <c r="Y11" t="str">
        <f t="shared" si="7"/>
        <v>Low</v>
      </c>
      <c r="Z11" t="str">
        <f t="shared" si="8"/>
        <v>Low</v>
      </c>
      <c r="AA11" t="str">
        <f t="shared" si="9"/>
        <v>Low</v>
      </c>
      <c r="AB11" t="str">
        <f t="shared" si="10"/>
        <v>Low</v>
      </c>
      <c r="AC11" t="str">
        <f t="shared" si="11"/>
        <v>Low</v>
      </c>
      <c r="AD11" t="str">
        <f>VLOOKUP(A11,MultimodalConnectivity_Corridor!$A$2:$K$57,11,FALSE)</f>
        <v>Low</v>
      </c>
      <c r="AE11">
        <f>VLOOKUP(A11,[2]METRICS!$AA$2:$AC$70,3,FALSE)</f>
        <v>522528.69162565022</v>
      </c>
      <c r="AG11">
        <v>0</v>
      </c>
      <c r="AH11">
        <f>VLOOKUP(A11,[2]METRICS!$AA$2:$AD$70,4,FALSE)</f>
        <v>0</v>
      </c>
      <c r="AI11">
        <v>0</v>
      </c>
      <c r="AJ11">
        <v>84.658698000000001</v>
      </c>
      <c r="AK11">
        <v>7.6</v>
      </c>
      <c r="AL11">
        <v>1.2305778631460123</v>
      </c>
      <c r="AM11">
        <v>1.0077614194149982</v>
      </c>
      <c r="AN11">
        <v>0</v>
      </c>
      <c r="AO11">
        <v>1</v>
      </c>
      <c r="AQ11">
        <v>575.04999999999995</v>
      </c>
      <c r="AR11">
        <v>8.6</v>
      </c>
      <c r="AS11">
        <v>3</v>
      </c>
      <c r="AT11" t="s">
        <v>30</v>
      </c>
    </row>
    <row r="12" spans="1:46" x14ac:dyDescent="0.25">
      <c r="A12" t="s">
        <v>40</v>
      </c>
      <c r="B12">
        <v>76.142924098199899</v>
      </c>
      <c r="C12">
        <v>3.7508965305480136E-3</v>
      </c>
      <c r="D12">
        <v>4.214180811612905E-3</v>
      </c>
      <c r="E12">
        <v>1</v>
      </c>
      <c r="G12">
        <v>0</v>
      </c>
      <c r="H12">
        <v>0</v>
      </c>
      <c r="I12">
        <v>0</v>
      </c>
      <c r="J12" t="s">
        <v>186</v>
      </c>
      <c r="K12" t="s">
        <v>186</v>
      </c>
      <c r="L12" t="s">
        <v>186</v>
      </c>
      <c r="M12" t="s">
        <v>186</v>
      </c>
      <c r="N12" t="str">
        <f t="shared" si="0"/>
        <v>Low</v>
      </c>
      <c r="O12" t="str">
        <f t="shared" si="1"/>
        <v>Low</v>
      </c>
      <c r="P12" t="str">
        <f t="shared" si="2"/>
        <v>Low</v>
      </c>
      <c r="Q12" t="str">
        <f t="shared" si="3"/>
        <v>Low</v>
      </c>
      <c r="R12" t="str">
        <f t="shared" si="4"/>
        <v>Low</v>
      </c>
      <c r="S12" t="str">
        <f t="shared" si="5"/>
        <v>Low</v>
      </c>
      <c r="T12" t="str">
        <f>VLOOKUP(A12,[1]R2R_N_corridors_Final50!$A$2:$AM$57,39,FALSE)</f>
        <v>Utilize_Low</v>
      </c>
      <c r="U12" t="str">
        <f>VLOOKUP(A12,[1]R2R_N_corridors_Final50!$A$2:$AO$57,41,FALSE)</f>
        <v>Utilize_Low</v>
      </c>
      <c r="V12" t="str">
        <f>VLOOKUP(A12,[1]R2R_N_corridors_Final50!$A$2:$AN$57,40,FALSE)</f>
        <v>Utilize_Med</v>
      </c>
      <c r="W12" t="str">
        <f>VLOOKUP(A12,[1]R2R_N_corridors_Final50!$A$2:$AP$57,42,FALSE)</f>
        <v>Utilize_Med</v>
      </c>
      <c r="X12" t="str">
        <f t="shared" si="6"/>
        <v>Low</v>
      </c>
      <c r="Y12" t="str">
        <f t="shared" si="7"/>
        <v>Low</v>
      </c>
      <c r="Z12" t="str">
        <f t="shared" si="8"/>
        <v>Low</v>
      </c>
      <c r="AA12" t="str">
        <f t="shared" si="9"/>
        <v>Low</v>
      </c>
      <c r="AB12" t="str">
        <f t="shared" si="10"/>
        <v>Low</v>
      </c>
      <c r="AC12" t="str">
        <f t="shared" si="11"/>
        <v>Low</v>
      </c>
      <c r="AD12" t="str">
        <f>VLOOKUP(A12,MultimodalConnectivity_Corridor!$A$2:$K$57,11,FALSE)</f>
        <v>Med</v>
      </c>
      <c r="AE12">
        <f>VLOOKUP(A12,[2]METRICS!$AA$2:$AC$70,3,FALSE)</f>
        <v>27659.271267732205</v>
      </c>
      <c r="AG12">
        <v>0</v>
      </c>
      <c r="AH12">
        <f>VLOOKUP(A12,[2]METRICS!$AA$2:$AD$70,4,FALSE)</f>
        <v>0</v>
      </c>
      <c r="AI12">
        <v>0</v>
      </c>
      <c r="AJ12">
        <v>100</v>
      </c>
      <c r="AK12">
        <v>8.4864859999999993</v>
      </c>
      <c r="AL12">
        <v>1.530100299989096</v>
      </c>
      <c r="AM12">
        <v>1</v>
      </c>
      <c r="AN12">
        <v>0</v>
      </c>
      <c r="AO12">
        <v>1</v>
      </c>
      <c r="AQ12">
        <v>535.70000000000005</v>
      </c>
      <c r="AR12">
        <v>3.7</v>
      </c>
      <c r="AS12">
        <v>4</v>
      </c>
      <c r="AT12" t="s">
        <v>29</v>
      </c>
    </row>
    <row r="13" spans="1:46" x14ac:dyDescent="0.25">
      <c r="A13" t="s">
        <v>41</v>
      </c>
      <c r="B13">
        <v>41.656805026699899</v>
      </c>
      <c r="C13">
        <v>0.11145303878197098</v>
      </c>
      <c r="D13">
        <v>0.12890410248082559</v>
      </c>
      <c r="E13">
        <v>1</v>
      </c>
      <c r="G13">
        <v>0</v>
      </c>
      <c r="H13">
        <v>0</v>
      </c>
      <c r="I13">
        <v>0</v>
      </c>
      <c r="J13" t="s">
        <v>186</v>
      </c>
      <c r="K13" t="s">
        <v>186</v>
      </c>
      <c r="L13" t="s">
        <v>190</v>
      </c>
      <c r="M13" t="s">
        <v>190</v>
      </c>
      <c r="N13" t="str">
        <f t="shared" si="0"/>
        <v>Low</v>
      </c>
      <c r="O13" t="str">
        <f t="shared" si="1"/>
        <v>Low</v>
      </c>
      <c r="P13" t="str">
        <f t="shared" si="2"/>
        <v>High</v>
      </c>
      <c r="Q13" t="str">
        <f t="shared" si="3"/>
        <v>High</v>
      </c>
      <c r="R13" t="str">
        <f t="shared" si="4"/>
        <v>Low</v>
      </c>
      <c r="S13" t="str">
        <f t="shared" si="5"/>
        <v>High</v>
      </c>
      <c r="T13" t="str">
        <f>VLOOKUP(A13,[1]R2R_N_corridors_Final50!$A$2:$AM$57,39,FALSE)</f>
        <v>Utilize_Low</v>
      </c>
      <c r="U13" t="str">
        <f>VLOOKUP(A13,[1]R2R_N_corridors_Final50!$A$2:$AO$57,41,FALSE)</f>
        <v>Utilize_Low</v>
      </c>
      <c r="V13" t="str">
        <f>VLOOKUP(A13,[1]R2R_N_corridors_Final50!$A$2:$AN$57,40,FALSE)</f>
        <v>Avoid_Low</v>
      </c>
      <c r="W13" t="str">
        <f>VLOOKUP(A13,[1]R2R_N_corridors_Final50!$A$2:$AP$57,42,FALSE)</f>
        <v>Avoid_Low</v>
      </c>
      <c r="X13" t="str">
        <f t="shared" si="6"/>
        <v>Low</v>
      </c>
      <c r="Y13" t="str">
        <f t="shared" si="7"/>
        <v>Low</v>
      </c>
      <c r="Z13" t="str">
        <f t="shared" si="8"/>
        <v>High</v>
      </c>
      <c r="AA13" t="str">
        <f t="shared" si="9"/>
        <v>High</v>
      </c>
      <c r="AB13" t="str">
        <f t="shared" si="10"/>
        <v>Low</v>
      </c>
      <c r="AC13" t="str">
        <f t="shared" si="11"/>
        <v>High</v>
      </c>
      <c r="AD13" t="str">
        <f>VLOOKUP(A13,MultimodalConnectivity_Corridor!$A$2:$K$57,11,FALSE)</f>
        <v>Low</v>
      </c>
      <c r="AE13">
        <f>VLOOKUP(A13,[2]METRICS!$AA$2:$AC$70,3,FALSE)</f>
        <v>64.758973685761944</v>
      </c>
      <c r="AG13">
        <v>0</v>
      </c>
      <c r="AH13">
        <f>VLOOKUP(A13,[2]METRICS!$AA$2:$AD$70,4,FALSE)</f>
        <v>0</v>
      </c>
      <c r="AI13">
        <v>0</v>
      </c>
      <c r="AJ13">
        <v>87.052458999999999</v>
      </c>
      <c r="AK13">
        <v>5.2380950000000004</v>
      </c>
      <c r="AL13">
        <v>1.5105738962804609</v>
      </c>
      <c r="AM13">
        <v>1.5490925168972316</v>
      </c>
      <c r="AN13">
        <v>0</v>
      </c>
      <c r="AO13">
        <v>1</v>
      </c>
      <c r="AQ13">
        <v>122.5</v>
      </c>
      <c r="AR13">
        <v>3.2</v>
      </c>
      <c r="AS13">
        <v>3</v>
      </c>
      <c r="AT13" t="s">
        <v>29</v>
      </c>
    </row>
    <row r="14" spans="1:46" x14ac:dyDescent="0.25">
      <c r="A14" t="s">
        <v>42</v>
      </c>
      <c r="B14">
        <v>18.352812943499899</v>
      </c>
      <c r="C14">
        <v>3.1123691277423211E-2</v>
      </c>
      <c r="D14">
        <v>3.0283542555824054E-2</v>
      </c>
      <c r="E14">
        <v>1</v>
      </c>
      <c r="G14">
        <v>0</v>
      </c>
      <c r="H14">
        <v>43318.667211</v>
      </c>
      <c r="I14">
        <v>0</v>
      </c>
      <c r="J14" t="s">
        <v>192</v>
      </c>
      <c r="K14" t="s">
        <v>192</v>
      </c>
      <c r="L14" t="s">
        <v>190</v>
      </c>
      <c r="M14" t="s">
        <v>190</v>
      </c>
      <c r="N14" t="str">
        <f t="shared" si="0"/>
        <v>Low</v>
      </c>
      <c r="O14" t="str">
        <f t="shared" si="1"/>
        <v>Low</v>
      </c>
      <c r="P14" t="str">
        <f t="shared" si="2"/>
        <v>High</v>
      </c>
      <c r="Q14" t="str">
        <f t="shared" si="3"/>
        <v>High</v>
      </c>
      <c r="R14" t="str">
        <f t="shared" si="4"/>
        <v>Low</v>
      </c>
      <c r="S14" t="str">
        <f t="shared" si="5"/>
        <v>High</v>
      </c>
      <c r="T14" t="str">
        <f>VLOOKUP(A14,[1]R2R_N_corridors_Final50!$A$2:$AM$57,39,FALSE)</f>
        <v>Utilize_Low</v>
      </c>
      <c r="U14" t="str">
        <f>VLOOKUP(A14,[1]R2R_N_corridors_Final50!$A$2:$AO$57,41,FALSE)</f>
        <v>Utilize_Low</v>
      </c>
      <c r="V14" t="str">
        <f>VLOOKUP(A14,[1]R2R_N_corridors_Final50!$A$2:$AN$57,40,FALSE)</f>
        <v>Avoid_Med</v>
      </c>
      <c r="W14" t="str">
        <f>VLOOKUP(A14,[1]R2R_N_corridors_Final50!$A$2:$AP$57,42,FALSE)</f>
        <v>Avoid_Med</v>
      </c>
      <c r="X14" t="str">
        <f t="shared" si="6"/>
        <v>Low</v>
      </c>
      <c r="Y14" t="str">
        <f t="shared" si="7"/>
        <v>Low</v>
      </c>
      <c r="Z14" t="str">
        <f t="shared" si="8"/>
        <v>High</v>
      </c>
      <c r="AA14" t="str">
        <f t="shared" si="9"/>
        <v>High</v>
      </c>
      <c r="AB14" t="str">
        <f t="shared" si="10"/>
        <v>Low</v>
      </c>
      <c r="AC14" t="str">
        <f t="shared" si="11"/>
        <v>High</v>
      </c>
      <c r="AD14" t="str">
        <f>VLOOKUP(A14,MultimodalConnectivity_Corridor!$A$2:$K$57,11,FALSE)</f>
        <v>High</v>
      </c>
      <c r="AE14">
        <f>VLOOKUP(A14,[2]METRICS!$AA$2:$AC$70,3,FALSE)</f>
        <v>1010.1163967661846</v>
      </c>
      <c r="AG14">
        <v>0</v>
      </c>
      <c r="AH14">
        <f>VLOOKUP(A14,[2]METRICS!$AA$2:$AD$70,4,FALSE)</f>
        <v>0</v>
      </c>
      <c r="AI14">
        <v>0</v>
      </c>
      <c r="AJ14">
        <v>86.868532000000002</v>
      </c>
      <c r="AK14">
        <v>3</v>
      </c>
      <c r="AL14">
        <v>1</v>
      </c>
      <c r="AM14">
        <v>1</v>
      </c>
      <c r="AN14">
        <v>0</v>
      </c>
      <c r="AO14">
        <v>1</v>
      </c>
      <c r="AQ14">
        <v>331.65</v>
      </c>
      <c r="AR14">
        <v>4.0999999999999996</v>
      </c>
      <c r="AS14">
        <v>5</v>
      </c>
      <c r="AT14" t="s">
        <v>32</v>
      </c>
    </row>
    <row r="15" spans="1:46" x14ac:dyDescent="0.25">
      <c r="A15" t="s">
        <v>43</v>
      </c>
      <c r="B15">
        <v>44.268066668400003</v>
      </c>
      <c r="C15">
        <v>5.5888397241173416E-3</v>
      </c>
      <c r="D15">
        <v>7.2605217757935048E-3</v>
      </c>
      <c r="E15">
        <v>1</v>
      </c>
      <c r="G15">
        <v>1.307782</v>
      </c>
      <c r="H15">
        <v>2604.3583610000001</v>
      </c>
      <c r="I15">
        <v>1223.9787590000001</v>
      </c>
      <c r="J15" t="s">
        <v>192</v>
      </c>
      <c r="K15" t="s">
        <v>192</v>
      </c>
      <c r="L15" t="s">
        <v>192</v>
      </c>
      <c r="M15" t="s">
        <v>192</v>
      </c>
      <c r="N15" t="str">
        <f t="shared" si="0"/>
        <v>Low</v>
      </c>
      <c r="O15" t="str">
        <f t="shared" si="1"/>
        <v>Low</v>
      </c>
      <c r="P15" t="str">
        <f t="shared" si="2"/>
        <v>Low</v>
      </c>
      <c r="Q15" t="str">
        <f t="shared" si="3"/>
        <v>Low</v>
      </c>
      <c r="R15" t="str">
        <f t="shared" si="4"/>
        <v>Low</v>
      </c>
      <c r="S15" t="str">
        <f t="shared" si="5"/>
        <v>Low</v>
      </c>
      <c r="T15" t="str">
        <f>VLOOKUP(A15,[1]R2R_N_corridors_Final50!$A$2:$AM$57,39,FALSE)</f>
        <v>Utilize_Low</v>
      </c>
      <c r="U15" t="str">
        <f>VLOOKUP(A15,[1]R2R_N_corridors_Final50!$A$2:$AO$57,41,FALSE)</f>
        <v>Utilize_Low</v>
      </c>
      <c r="V15" t="str">
        <f>VLOOKUP(A15,[1]R2R_N_corridors_Final50!$A$2:$AN$57,40,FALSE)</f>
        <v>Utilize_Med</v>
      </c>
      <c r="W15" t="str">
        <f>VLOOKUP(A15,[1]R2R_N_corridors_Final50!$A$2:$AP$57,42,FALSE)</f>
        <v>Utilize_Med</v>
      </c>
      <c r="X15" t="str">
        <f t="shared" si="6"/>
        <v>Low</v>
      </c>
      <c r="Y15" t="str">
        <f t="shared" si="7"/>
        <v>Low</v>
      </c>
      <c r="Z15" t="str">
        <f t="shared" si="8"/>
        <v>Low</v>
      </c>
      <c r="AA15" t="str">
        <f t="shared" si="9"/>
        <v>Low</v>
      </c>
      <c r="AB15" t="str">
        <f t="shared" si="10"/>
        <v>Low</v>
      </c>
      <c r="AC15" t="str">
        <f t="shared" si="11"/>
        <v>Low</v>
      </c>
      <c r="AD15" t="str">
        <f>VLOOKUP(A15,MultimodalConnectivity_Corridor!$A$2:$K$57,11,FALSE)</f>
        <v>Low</v>
      </c>
      <c r="AE15">
        <f>VLOOKUP(A15,[2]METRICS!$AA$2:$AC$70,3,FALSE)</f>
        <v>17.943992992896419</v>
      </c>
      <c r="AG15">
        <v>0</v>
      </c>
      <c r="AH15">
        <f>VLOOKUP(A15,[2]METRICS!$AA$2:$AD$70,4,FALSE)</f>
        <v>0</v>
      </c>
      <c r="AI15">
        <v>0</v>
      </c>
      <c r="AJ15">
        <v>99.603166000000002</v>
      </c>
      <c r="AK15">
        <v>4.8611110000000002</v>
      </c>
      <c r="AL15">
        <v>1.3242109158128448</v>
      </c>
      <c r="AM15">
        <v>1.0441970087099122</v>
      </c>
      <c r="AN15">
        <v>0</v>
      </c>
      <c r="AO15">
        <v>1</v>
      </c>
      <c r="AQ15">
        <v>190.05</v>
      </c>
      <c r="AR15">
        <v>2</v>
      </c>
      <c r="AS15">
        <v>3</v>
      </c>
      <c r="AT15" t="s">
        <v>30</v>
      </c>
    </row>
    <row r="16" spans="1:46" x14ac:dyDescent="0.25">
      <c r="A16" t="s">
        <v>44</v>
      </c>
      <c r="B16">
        <v>4.2164203195200001</v>
      </c>
      <c r="C16">
        <v>0.1053247429769846</v>
      </c>
      <c r="D16">
        <v>0.19506693489557908</v>
      </c>
      <c r="E16">
        <v>1</v>
      </c>
      <c r="G16">
        <v>0</v>
      </c>
      <c r="H16">
        <v>0</v>
      </c>
      <c r="I16">
        <v>0</v>
      </c>
      <c r="J16" t="s">
        <v>186</v>
      </c>
      <c r="K16" t="s">
        <v>186</v>
      </c>
      <c r="L16" t="s">
        <v>192</v>
      </c>
      <c r="M16" t="s">
        <v>192</v>
      </c>
      <c r="N16" t="str">
        <f t="shared" si="0"/>
        <v>Low</v>
      </c>
      <c r="O16" t="str">
        <f t="shared" si="1"/>
        <v>Low</v>
      </c>
      <c r="P16" t="str">
        <f t="shared" si="2"/>
        <v>Low</v>
      </c>
      <c r="Q16" t="str">
        <f t="shared" si="3"/>
        <v>Low</v>
      </c>
      <c r="R16" t="str">
        <f t="shared" si="4"/>
        <v>Low</v>
      </c>
      <c r="S16" t="str">
        <f t="shared" si="5"/>
        <v>Low</v>
      </c>
      <c r="T16" t="str">
        <f>VLOOKUP(A16,[1]R2R_N_corridors_Final50!$A$2:$AM$57,39,FALSE)</f>
        <v>Utilize_Med</v>
      </c>
      <c r="U16" t="str">
        <f>VLOOKUP(A16,[1]R2R_N_corridors_Final50!$A$2:$AO$57,41,FALSE)</f>
        <v>Utilize_Med</v>
      </c>
      <c r="V16" t="str">
        <f>VLOOKUP(A16,[1]R2R_N_corridors_Final50!$A$2:$AN$57,40,FALSE)</f>
        <v>Avoid_Med</v>
      </c>
      <c r="W16" t="str">
        <f>VLOOKUP(A16,[1]R2R_N_corridors_Final50!$A$2:$AP$57,42,FALSE)</f>
        <v>Avoid_Med</v>
      </c>
      <c r="X16" t="str">
        <f t="shared" si="6"/>
        <v>Low</v>
      </c>
      <c r="Y16" t="str">
        <f t="shared" si="7"/>
        <v>Low</v>
      </c>
      <c r="Z16" t="str">
        <f t="shared" si="8"/>
        <v>High</v>
      </c>
      <c r="AA16" t="str">
        <f t="shared" si="9"/>
        <v>High</v>
      </c>
      <c r="AB16" t="str">
        <f t="shared" si="10"/>
        <v>Low</v>
      </c>
      <c r="AC16" t="str">
        <f t="shared" si="11"/>
        <v>High</v>
      </c>
      <c r="AD16" t="str">
        <f>VLOOKUP(A16,MultimodalConnectivity_Corridor!$A$2:$K$57,11,FALSE)</f>
        <v>Low</v>
      </c>
      <c r="AE16">
        <f>VLOOKUP(A16,[2]METRICS!$AA$2:$AC$70,3,FALSE)</f>
        <v>18344.290203630469</v>
      </c>
      <c r="AG16">
        <v>0</v>
      </c>
      <c r="AH16">
        <f>VLOOKUP(A16,[2]METRICS!$AA$2:$AD$70,4,FALSE)</f>
        <v>0</v>
      </c>
      <c r="AI16">
        <v>0</v>
      </c>
      <c r="AJ16">
        <v>100</v>
      </c>
      <c r="AK16">
        <v>4.7272730000000003</v>
      </c>
      <c r="AL16">
        <v>1</v>
      </c>
      <c r="AM16">
        <v>1</v>
      </c>
      <c r="AN16">
        <v>0</v>
      </c>
      <c r="AO16">
        <v>1</v>
      </c>
      <c r="AQ16">
        <v>257.3</v>
      </c>
      <c r="AR16">
        <v>3.7</v>
      </c>
      <c r="AS16">
        <v>3</v>
      </c>
      <c r="AT16" t="s">
        <v>32</v>
      </c>
    </row>
    <row r="17" spans="1:46" x14ac:dyDescent="0.25">
      <c r="A17" t="s">
        <v>45</v>
      </c>
      <c r="B17">
        <v>26.949391069800001</v>
      </c>
      <c r="C17">
        <v>1.3426868696235213E-2</v>
      </c>
      <c r="D17">
        <v>1.5352884145530614E-2</v>
      </c>
      <c r="E17">
        <v>1</v>
      </c>
      <c r="G17">
        <v>0</v>
      </c>
      <c r="H17">
        <v>0</v>
      </c>
      <c r="I17">
        <v>0</v>
      </c>
      <c r="J17" t="s">
        <v>190</v>
      </c>
      <c r="K17" t="s">
        <v>190</v>
      </c>
      <c r="L17" t="s">
        <v>190</v>
      </c>
      <c r="M17" t="s">
        <v>190</v>
      </c>
      <c r="N17" t="str">
        <f t="shared" si="0"/>
        <v>High</v>
      </c>
      <c r="O17" t="str">
        <f t="shared" si="1"/>
        <v>High</v>
      </c>
      <c r="P17" t="str">
        <f t="shared" si="2"/>
        <v>High</v>
      </c>
      <c r="Q17" t="str">
        <f t="shared" si="3"/>
        <v>High</v>
      </c>
      <c r="R17" t="str">
        <f t="shared" si="4"/>
        <v>High</v>
      </c>
      <c r="S17" t="str">
        <f t="shared" si="5"/>
        <v>High</v>
      </c>
      <c r="T17" t="str">
        <f>VLOOKUP(A17,[1]R2R_N_corridors_Final50!$A$2:$AM$57,39,FALSE)</f>
        <v>Utilize_Low</v>
      </c>
      <c r="U17" t="str">
        <f>VLOOKUP(A17,[1]R2R_N_corridors_Final50!$A$2:$AO$57,41,FALSE)</f>
        <v>Utilize_Low</v>
      </c>
      <c r="V17" t="str">
        <f>VLOOKUP(A17,[1]R2R_N_corridors_Final50!$A$2:$AN$57,40,FALSE)</f>
        <v>Avoid_High</v>
      </c>
      <c r="W17" t="str">
        <f>VLOOKUP(A17,[1]R2R_N_corridors_Final50!$A$2:$AP$57,42,FALSE)</f>
        <v>Avoid_High</v>
      </c>
      <c r="X17" t="str">
        <f t="shared" si="6"/>
        <v>Low</v>
      </c>
      <c r="Y17" t="str">
        <f t="shared" si="7"/>
        <v>Low</v>
      </c>
      <c r="Z17" t="str">
        <f t="shared" si="8"/>
        <v>High</v>
      </c>
      <c r="AA17" t="str">
        <f t="shared" si="9"/>
        <v>High</v>
      </c>
      <c r="AB17" t="str">
        <f t="shared" si="10"/>
        <v>Low</v>
      </c>
      <c r="AC17" t="str">
        <f t="shared" si="11"/>
        <v>High</v>
      </c>
      <c r="AD17" t="str">
        <f>VLOOKUP(A17,MultimodalConnectivity_Corridor!$A$2:$K$57,11,FALSE)</f>
        <v>Low</v>
      </c>
      <c r="AE17">
        <f>VLOOKUP(A17,[2]METRICS!$AA$2:$AC$70,3,FALSE)</f>
        <v>0</v>
      </c>
      <c r="AG17">
        <v>0</v>
      </c>
      <c r="AH17">
        <f>VLOOKUP(A17,[2]METRICS!$AA$2:$AD$70,4,FALSE)</f>
        <v>0</v>
      </c>
      <c r="AI17">
        <v>0</v>
      </c>
      <c r="AJ17">
        <v>100</v>
      </c>
      <c r="AK17">
        <v>3</v>
      </c>
      <c r="AL17">
        <v>1</v>
      </c>
      <c r="AM17">
        <v>1.0005940732765195</v>
      </c>
      <c r="AN17">
        <v>0</v>
      </c>
      <c r="AO17">
        <v>1</v>
      </c>
      <c r="AQ17">
        <v>165.95</v>
      </c>
      <c r="AR17">
        <v>2.2000000000000002</v>
      </c>
      <c r="AS17">
        <v>3</v>
      </c>
      <c r="AT17" t="s">
        <v>29</v>
      </c>
    </row>
    <row r="18" spans="1:46" x14ac:dyDescent="0.25">
      <c r="A18" t="s">
        <v>46</v>
      </c>
      <c r="B18">
        <v>4.1639821022800003</v>
      </c>
      <c r="C18">
        <v>0.22073790766840415</v>
      </c>
      <c r="D18">
        <v>0.48472330989417006</v>
      </c>
      <c r="E18">
        <v>1</v>
      </c>
      <c r="G18">
        <v>0</v>
      </c>
      <c r="H18">
        <v>0</v>
      </c>
      <c r="I18">
        <v>0</v>
      </c>
      <c r="J18" t="s">
        <v>187</v>
      </c>
      <c r="K18" t="s">
        <v>187</v>
      </c>
      <c r="L18" t="s">
        <v>187</v>
      </c>
      <c r="M18" t="s">
        <v>187</v>
      </c>
      <c r="N18" t="str">
        <f t="shared" si="0"/>
        <v>Low</v>
      </c>
      <c r="O18" t="str">
        <f t="shared" si="1"/>
        <v>Low</v>
      </c>
      <c r="P18" t="str">
        <f t="shared" si="2"/>
        <v>Low</v>
      </c>
      <c r="Q18" t="str">
        <f t="shared" si="3"/>
        <v>Low</v>
      </c>
      <c r="R18" t="str">
        <f t="shared" si="4"/>
        <v>Low</v>
      </c>
      <c r="S18" t="str">
        <f t="shared" si="5"/>
        <v>Low</v>
      </c>
      <c r="T18" t="str">
        <f>VLOOKUP(A18,[1]R2R_N_corridors_Final50!$A$2:$AM$57,39,FALSE)</f>
        <v>Utilize_Med</v>
      </c>
      <c r="U18" t="str">
        <f>VLOOKUP(A18,[1]R2R_N_corridors_Final50!$A$2:$AO$57,41,FALSE)</f>
        <v>Utilize_Med</v>
      </c>
      <c r="V18" t="str">
        <f>VLOOKUP(A18,[1]R2R_N_corridors_Final50!$A$2:$AN$57,40,FALSE)</f>
        <v>Utilize_High</v>
      </c>
      <c r="W18" t="str">
        <f>VLOOKUP(A18,[1]R2R_N_corridors_Final50!$A$2:$AP$57,42,FALSE)</f>
        <v>Utilize_High</v>
      </c>
      <c r="X18" t="str">
        <f t="shared" si="6"/>
        <v>Low</v>
      </c>
      <c r="Y18" t="str">
        <f t="shared" si="7"/>
        <v>Low</v>
      </c>
      <c r="Z18" t="str">
        <f t="shared" si="8"/>
        <v>Low</v>
      </c>
      <c r="AA18" t="str">
        <f t="shared" si="9"/>
        <v>Low</v>
      </c>
      <c r="AB18" t="str">
        <f t="shared" si="10"/>
        <v>Low</v>
      </c>
      <c r="AC18" t="str">
        <f t="shared" si="11"/>
        <v>Low</v>
      </c>
      <c r="AD18" t="str">
        <f>VLOOKUP(A18,MultimodalConnectivity_Corridor!$A$2:$K$57,11,FALSE)</f>
        <v>Med</v>
      </c>
      <c r="AE18">
        <f>VLOOKUP(A18,[2]METRICS!$AA$2:$AC$70,3,FALSE)</f>
        <v>270.13233497046156</v>
      </c>
      <c r="AG18">
        <v>0</v>
      </c>
      <c r="AH18">
        <f>VLOOKUP(A18,[2]METRICS!$AA$2:$AD$70,4,FALSE)</f>
        <v>0.192966</v>
      </c>
      <c r="AI18">
        <v>0</v>
      </c>
      <c r="AJ18">
        <v>100</v>
      </c>
      <c r="AK18">
        <v>10</v>
      </c>
      <c r="AL18">
        <v>1.014465829026125</v>
      </c>
      <c r="AM18">
        <v>1.0980720284564554</v>
      </c>
      <c r="AN18">
        <v>0</v>
      </c>
      <c r="AO18">
        <v>1</v>
      </c>
      <c r="AQ18">
        <v>180.55</v>
      </c>
      <c r="AR18">
        <v>7.9</v>
      </c>
      <c r="AS18">
        <v>3</v>
      </c>
      <c r="AT18" t="s">
        <v>30</v>
      </c>
    </row>
    <row r="19" spans="1:46" x14ac:dyDescent="0.25">
      <c r="A19" t="s">
        <v>47</v>
      </c>
      <c r="B19">
        <v>42.291837041199898</v>
      </c>
      <c r="C19">
        <v>5.8906661092254613E-3</v>
      </c>
      <c r="D19">
        <v>9.3407102986994249E-3</v>
      </c>
      <c r="E19">
        <v>1</v>
      </c>
      <c r="G19">
        <v>0</v>
      </c>
      <c r="H19">
        <v>0</v>
      </c>
      <c r="I19">
        <v>0</v>
      </c>
      <c r="J19" t="s">
        <v>192</v>
      </c>
      <c r="K19" t="s">
        <v>192</v>
      </c>
      <c r="L19" t="s">
        <v>188</v>
      </c>
      <c r="M19" t="s">
        <v>188</v>
      </c>
      <c r="N19" t="str">
        <f t="shared" si="0"/>
        <v>Low</v>
      </c>
      <c r="O19" t="str">
        <f t="shared" si="1"/>
        <v>Low</v>
      </c>
      <c r="P19" t="str">
        <f t="shared" si="2"/>
        <v>High</v>
      </c>
      <c r="Q19" t="str">
        <f t="shared" si="3"/>
        <v>High</v>
      </c>
      <c r="R19" t="str">
        <f t="shared" si="4"/>
        <v>Low</v>
      </c>
      <c r="S19" t="str">
        <f t="shared" si="5"/>
        <v>High</v>
      </c>
      <c r="T19" t="str">
        <f>VLOOKUP(A19,[1]R2R_N_corridors_Final50!$A$2:$AM$57,39,FALSE)</f>
        <v>Utilize_Med</v>
      </c>
      <c r="U19" t="str">
        <f>VLOOKUP(A19,[1]R2R_N_corridors_Final50!$A$2:$AO$57,41,FALSE)</f>
        <v>Utilize_Med</v>
      </c>
      <c r="V19" t="str">
        <f>VLOOKUP(A19,[1]R2R_N_corridors_Final50!$A$2:$AN$57,40,FALSE)</f>
        <v>Utilize_Med</v>
      </c>
      <c r="W19" t="str">
        <f>VLOOKUP(A19,[1]R2R_N_corridors_Final50!$A$2:$AP$57,42,FALSE)</f>
        <v>Utilize_Med</v>
      </c>
      <c r="X19" t="str">
        <f t="shared" si="6"/>
        <v>Low</v>
      </c>
      <c r="Y19" t="str">
        <f t="shared" si="7"/>
        <v>Low</v>
      </c>
      <c r="Z19" t="str">
        <f t="shared" si="8"/>
        <v>Low</v>
      </c>
      <c r="AA19" t="str">
        <f t="shared" si="9"/>
        <v>Low</v>
      </c>
      <c r="AB19" t="str">
        <f t="shared" si="10"/>
        <v>Low</v>
      </c>
      <c r="AC19" t="str">
        <f t="shared" si="11"/>
        <v>Low</v>
      </c>
      <c r="AD19" t="str">
        <f>VLOOKUP(A19,MultimodalConnectivity_Corridor!$A$2:$K$57,11,FALSE)</f>
        <v>Low</v>
      </c>
      <c r="AE19">
        <f>VLOOKUP(A19,[2]METRICS!$AA$2:$AC$70,3,FALSE)</f>
        <v>280.43993590001998</v>
      </c>
      <c r="AG19">
        <v>0</v>
      </c>
      <c r="AH19">
        <f>VLOOKUP(A19,[2]METRICS!$AA$2:$AD$70,4,FALSE)</f>
        <v>0</v>
      </c>
      <c r="AI19">
        <v>0</v>
      </c>
      <c r="AJ19">
        <v>100</v>
      </c>
      <c r="AK19">
        <v>4</v>
      </c>
      <c r="AL19">
        <v>1.0170157180115333</v>
      </c>
      <c r="AM19">
        <v>1.0047707432781856</v>
      </c>
      <c r="AN19">
        <v>0</v>
      </c>
      <c r="AO19">
        <v>1</v>
      </c>
      <c r="AQ19">
        <v>81</v>
      </c>
      <c r="AR19">
        <v>0.4</v>
      </c>
      <c r="AS19">
        <v>7</v>
      </c>
      <c r="AT19" t="s">
        <v>32</v>
      </c>
    </row>
    <row r="20" spans="1:46" x14ac:dyDescent="0.25">
      <c r="A20" t="s">
        <v>48</v>
      </c>
      <c r="B20">
        <v>182.860403915999</v>
      </c>
      <c r="C20">
        <v>8.5703684687255144E-2</v>
      </c>
      <c r="D20">
        <v>0.10419119615742069</v>
      </c>
      <c r="E20">
        <v>1.0018019660236046</v>
      </c>
      <c r="G20">
        <v>0</v>
      </c>
      <c r="H20">
        <v>0</v>
      </c>
      <c r="I20">
        <v>0</v>
      </c>
      <c r="J20" t="s">
        <v>186</v>
      </c>
      <c r="K20" t="s">
        <v>186</v>
      </c>
      <c r="L20" t="s">
        <v>187</v>
      </c>
      <c r="M20" t="s">
        <v>187</v>
      </c>
      <c r="N20" t="str">
        <f t="shared" si="0"/>
        <v>Low</v>
      </c>
      <c r="O20" t="str">
        <f t="shared" si="1"/>
        <v>Low</v>
      </c>
      <c r="P20" t="str">
        <f t="shared" si="2"/>
        <v>Low</v>
      </c>
      <c r="Q20" t="str">
        <f t="shared" si="3"/>
        <v>Low</v>
      </c>
      <c r="R20" t="str">
        <f t="shared" si="4"/>
        <v>Low</v>
      </c>
      <c r="S20" t="str">
        <f t="shared" si="5"/>
        <v>Low</v>
      </c>
      <c r="T20" t="str">
        <f>VLOOKUP(A20,[1]R2R_N_corridors_Final50!$A$2:$AM$57,39,FALSE)</f>
        <v>Utilize_Med</v>
      </c>
      <c r="U20" t="str">
        <f>VLOOKUP(A20,[1]R2R_N_corridors_Final50!$A$2:$AO$57,41,FALSE)</f>
        <v>Utilize_Med</v>
      </c>
      <c r="V20" t="str">
        <f>VLOOKUP(A20,[1]R2R_N_corridors_Final50!$A$2:$AN$57,40,FALSE)</f>
        <v>Utilize_High</v>
      </c>
      <c r="W20" t="str">
        <f>VLOOKUP(A20,[1]R2R_N_corridors_Final50!$A$2:$AP$57,42,FALSE)</f>
        <v>Utilize_High</v>
      </c>
      <c r="X20" t="str">
        <f t="shared" si="6"/>
        <v>Low</v>
      </c>
      <c r="Y20" t="str">
        <f t="shared" si="7"/>
        <v>Low</v>
      </c>
      <c r="Z20" t="str">
        <f t="shared" si="8"/>
        <v>Low</v>
      </c>
      <c r="AA20" t="str">
        <f t="shared" si="9"/>
        <v>Low</v>
      </c>
      <c r="AB20" t="str">
        <f t="shared" si="10"/>
        <v>Low</v>
      </c>
      <c r="AC20" t="str">
        <f t="shared" si="11"/>
        <v>Low</v>
      </c>
      <c r="AD20" t="str">
        <f>VLOOKUP(A20,MultimodalConnectivity_Corridor!$A$2:$K$57,11,FALSE)</f>
        <v>Med</v>
      </c>
      <c r="AE20">
        <f>VLOOKUP(A20,[2]METRICS!$AA$2:$AC$70,3,FALSE)</f>
        <v>24891.867508822459</v>
      </c>
      <c r="AG20">
        <v>1</v>
      </c>
      <c r="AH20">
        <f>VLOOKUP(A20,[2]METRICS!$AA$2:$AD$70,4,FALSE)</f>
        <v>2.4782749007214462</v>
      </c>
      <c r="AI20">
        <v>0</v>
      </c>
      <c r="AJ20">
        <v>84.398865999999998</v>
      </c>
      <c r="AK20">
        <v>7.5944440000000002</v>
      </c>
      <c r="AL20">
        <v>1.1056034855278669</v>
      </c>
      <c r="AM20">
        <v>1.0079271097858364</v>
      </c>
      <c r="AN20">
        <v>0</v>
      </c>
      <c r="AO20">
        <v>1</v>
      </c>
      <c r="AQ20">
        <v>740.7</v>
      </c>
      <c r="AR20">
        <v>5.5</v>
      </c>
      <c r="AS20">
        <v>11</v>
      </c>
      <c r="AT20" t="s">
        <v>29</v>
      </c>
    </row>
    <row r="21" spans="1:46" x14ac:dyDescent="0.25">
      <c r="A21" t="s">
        <v>49</v>
      </c>
      <c r="B21">
        <v>20.2626475462</v>
      </c>
      <c r="C21">
        <v>0.45445102239366997</v>
      </c>
      <c r="D21">
        <v>0.41326673839554945</v>
      </c>
      <c r="E21">
        <v>1.0490311367035154</v>
      </c>
      <c r="G21">
        <v>0</v>
      </c>
      <c r="H21">
        <v>0</v>
      </c>
      <c r="I21">
        <v>0</v>
      </c>
      <c r="J21" t="s">
        <v>187</v>
      </c>
      <c r="K21" t="s">
        <v>187</v>
      </c>
      <c r="L21" t="s">
        <v>186</v>
      </c>
      <c r="M21" t="s">
        <v>186</v>
      </c>
      <c r="N21" t="str">
        <f t="shared" si="0"/>
        <v>Low</v>
      </c>
      <c r="O21" t="str">
        <f t="shared" si="1"/>
        <v>Low</v>
      </c>
      <c r="P21" t="str">
        <f t="shared" si="2"/>
        <v>Low</v>
      </c>
      <c r="Q21" t="str">
        <f t="shared" si="3"/>
        <v>Low</v>
      </c>
      <c r="R21" t="str">
        <f t="shared" si="4"/>
        <v>Low</v>
      </c>
      <c r="S21" t="str">
        <f t="shared" si="5"/>
        <v>Low</v>
      </c>
      <c r="T21" t="str">
        <f>VLOOKUP(A21,[1]R2R_N_corridors_Final50!$A$2:$AM$57,39,FALSE)</f>
        <v>Utilize_High</v>
      </c>
      <c r="U21" t="str">
        <f>VLOOKUP(A21,[1]R2R_N_corridors_Final50!$A$2:$AO$57,41,FALSE)</f>
        <v>Utilize_High</v>
      </c>
      <c r="V21" t="str">
        <f>VLOOKUP(A21,[1]R2R_N_corridors_Final50!$A$2:$AN$57,40,FALSE)</f>
        <v>Utilize_High</v>
      </c>
      <c r="W21" t="str">
        <f>VLOOKUP(A21,[1]R2R_N_corridors_Final50!$A$2:$AP$57,42,FALSE)</f>
        <v>Utilize_High</v>
      </c>
      <c r="X21" t="str">
        <f t="shared" si="6"/>
        <v>Low</v>
      </c>
      <c r="Y21" t="str">
        <f t="shared" si="7"/>
        <v>Low</v>
      </c>
      <c r="Z21" t="str">
        <f t="shared" si="8"/>
        <v>Low</v>
      </c>
      <c r="AA21" t="str">
        <f t="shared" si="9"/>
        <v>Low</v>
      </c>
      <c r="AB21" t="str">
        <f t="shared" si="10"/>
        <v>Low</v>
      </c>
      <c r="AC21" t="str">
        <f t="shared" si="11"/>
        <v>Low</v>
      </c>
      <c r="AD21" t="str">
        <f>VLOOKUP(A21,MultimodalConnectivity_Corridor!$A$2:$K$57,11,FALSE)</f>
        <v>High</v>
      </c>
      <c r="AE21">
        <f>VLOOKUP(A21,[2]METRICS!$AA$2:$AC$70,3,FALSE)</f>
        <v>2758.2523460337147</v>
      </c>
      <c r="AG21">
        <v>1</v>
      </c>
      <c r="AH21">
        <f>VLOOKUP(A21,[2]METRICS!$AA$2:$AD$70,4,FALSE)</f>
        <v>0.27461609927855396</v>
      </c>
      <c r="AI21">
        <v>0</v>
      </c>
      <c r="AJ21">
        <v>10.872317000000001</v>
      </c>
      <c r="AK21">
        <v>6.5333329999999998</v>
      </c>
      <c r="AL21">
        <v>1</v>
      </c>
      <c r="AM21">
        <v>1.0397952131743393</v>
      </c>
      <c r="AN21">
        <v>0</v>
      </c>
      <c r="AO21">
        <v>1</v>
      </c>
      <c r="AQ21">
        <v>412.75</v>
      </c>
      <c r="AR21">
        <v>6.6</v>
      </c>
      <c r="AS21">
        <v>5</v>
      </c>
      <c r="AT21" t="s">
        <v>30</v>
      </c>
    </row>
    <row r="22" spans="1:46" x14ac:dyDescent="0.25">
      <c r="A22" t="s">
        <v>50</v>
      </c>
      <c r="B22">
        <v>90.816483914100004</v>
      </c>
      <c r="C22">
        <v>2.8522773882959724E-2</v>
      </c>
      <c r="D22">
        <v>3.2502875449590359E-2</v>
      </c>
      <c r="E22">
        <v>1</v>
      </c>
      <c r="G22">
        <v>3.6077170000000001</v>
      </c>
      <c r="H22">
        <v>0</v>
      </c>
      <c r="I22">
        <v>102.159536</v>
      </c>
      <c r="J22" t="s">
        <v>192</v>
      </c>
      <c r="K22" t="s">
        <v>192</v>
      </c>
      <c r="L22" t="s">
        <v>190</v>
      </c>
      <c r="M22" t="s">
        <v>190</v>
      </c>
      <c r="N22" t="str">
        <f t="shared" si="0"/>
        <v>Low</v>
      </c>
      <c r="O22" t="str">
        <f t="shared" si="1"/>
        <v>Low</v>
      </c>
      <c r="P22" t="str">
        <f t="shared" si="2"/>
        <v>High</v>
      </c>
      <c r="Q22" t="str">
        <f t="shared" si="3"/>
        <v>High</v>
      </c>
      <c r="R22" t="str">
        <f t="shared" si="4"/>
        <v>Low</v>
      </c>
      <c r="S22" t="str">
        <f t="shared" si="5"/>
        <v>High</v>
      </c>
      <c r="T22" t="str">
        <f>VLOOKUP(A22,[1]R2R_N_corridors_Final50!$A$2:$AM$57,39,FALSE)</f>
        <v>Avoid_Low</v>
      </c>
      <c r="U22" t="str">
        <f>VLOOKUP(A22,[1]R2R_N_corridors_Final50!$A$2:$AO$57,41,FALSE)</f>
        <v>Avoid_Low</v>
      </c>
      <c r="V22" t="str">
        <f>VLOOKUP(A22,[1]R2R_N_corridors_Final50!$A$2:$AN$57,40,FALSE)</f>
        <v>Avoid_Low</v>
      </c>
      <c r="W22" t="str">
        <f>VLOOKUP(A22,[1]R2R_N_corridors_Final50!$A$2:$AP$57,42,FALSE)</f>
        <v>Avoid_Low</v>
      </c>
      <c r="X22" t="str">
        <f t="shared" si="6"/>
        <v>High</v>
      </c>
      <c r="Y22" t="str">
        <f t="shared" si="7"/>
        <v>High</v>
      </c>
      <c r="Z22" t="str">
        <f t="shared" si="8"/>
        <v>High</v>
      </c>
      <c r="AA22" t="str">
        <f t="shared" si="9"/>
        <v>High</v>
      </c>
      <c r="AB22" t="str">
        <f t="shared" si="10"/>
        <v>High</v>
      </c>
      <c r="AC22" t="str">
        <f t="shared" si="11"/>
        <v>High</v>
      </c>
      <c r="AD22" t="str">
        <f>VLOOKUP(A22,MultimodalConnectivity_Corridor!$A$2:$K$57,11,FALSE)</f>
        <v>High</v>
      </c>
      <c r="AE22">
        <f>VLOOKUP(A22,[2]METRICS!$AA$2:$AC$70,3,FALSE)</f>
        <v>15237.499063175241</v>
      </c>
      <c r="AG22">
        <v>1</v>
      </c>
      <c r="AH22">
        <f>VLOOKUP(A22,[2]METRICS!$AA$2:$AD$70,4,FALSE)</f>
        <v>0</v>
      </c>
      <c r="AI22">
        <v>0</v>
      </c>
      <c r="AJ22">
        <v>94.378371000000001</v>
      </c>
      <c r="AK22">
        <v>7.21875</v>
      </c>
      <c r="AL22">
        <v>1.1804780031930906</v>
      </c>
      <c r="AM22">
        <v>1.0527219557144822</v>
      </c>
      <c r="AN22">
        <v>0</v>
      </c>
      <c r="AO22">
        <v>1</v>
      </c>
      <c r="AQ22">
        <v>189</v>
      </c>
      <c r="AR22">
        <v>6.5</v>
      </c>
      <c r="AS22">
        <v>6</v>
      </c>
      <c r="AT22" t="s">
        <v>32</v>
      </c>
    </row>
    <row r="23" spans="1:46" x14ac:dyDescent="0.25">
      <c r="A23" t="s">
        <v>51</v>
      </c>
      <c r="B23">
        <v>35.996736132800002</v>
      </c>
      <c r="C23">
        <v>4.4712853337609465E-2</v>
      </c>
      <c r="D23">
        <v>8.7713583843351109E-2</v>
      </c>
      <c r="E23">
        <v>1</v>
      </c>
      <c r="G23">
        <v>1.06149</v>
      </c>
      <c r="H23">
        <v>0</v>
      </c>
      <c r="I23">
        <v>206.693048</v>
      </c>
      <c r="J23" t="s">
        <v>187</v>
      </c>
      <c r="K23" t="s">
        <v>187</v>
      </c>
      <c r="L23" t="s">
        <v>191</v>
      </c>
      <c r="M23" t="s">
        <v>191</v>
      </c>
      <c r="N23" t="str">
        <f t="shared" si="0"/>
        <v>Low</v>
      </c>
      <c r="O23" t="str">
        <f t="shared" si="1"/>
        <v>Low</v>
      </c>
      <c r="P23" t="str">
        <f t="shared" si="2"/>
        <v>High</v>
      </c>
      <c r="Q23" t="str">
        <f t="shared" si="3"/>
        <v>High</v>
      </c>
      <c r="R23" t="str">
        <f t="shared" si="4"/>
        <v>Low</v>
      </c>
      <c r="S23" t="str">
        <f t="shared" si="5"/>
        <v>High</v>
      </c>
      <c r="T23" t="str">
        <f>VLOOKUP(A23,[1]R2R_N_corridors_Final50!$A$2:$AM$57,39,FALSE)</f>
        <v>Utilize_Med</v>
      </c>
      <c r="U23" t="str">
        <f>VLOOKUP(A23,[1]R2R_N_corridors_Final50!$A$2:$AO$57,41,FALSE)</f>
        <v>Utilize_Med</v>
      </c>
      <c r="V23" t="str">
        <f>VLOOKUP(A23,[1]R2R_N_corridors_Final50!$A$2:$AN$57,40,FALSE)</f>
        <v>Avoid_High</v>
      </c>
      <c r="W23" t="str">
        <f>VLOOKUP(A23,[1]R2R_N_corridors_Final50!$A$2:$AP$57,42,FALSE)</f>
        <v>Avoid_High</v>
      </c>
      <c r="X23" t="str">
        <f t="shared" si="6"/>
        <v>Low</v>
      </c>
      <c r="Y23" t="str">
        <f t="shared" si="7"/>
        <v>Low</v>
      </c>
      <c r="Z23" t="str">
        <f t="shared" si="8"/>
        <v>High</v>
      </c>
      <c r="AA23" t="str">
        <f t="shared" si="9"/>
        <v>High</v>
      </c>
      <c r="AB23" t="str">
        <f t="shared" si="10"/>
        <v>Low</v>
      </c>
      <c r="AC23" t="str">
        <f t="shared" si="11"/>
        <v>High</v>
      </c>
      <c r="AD23" t="str">
        <f>VLOOKUP(A23,MultimodalConnectivity_Corridor!$A$2:$K$57,11,FALSE)</f>
        <v>High</v>
      </c>
      <c r="AE23">
        <f>VLOOKUP(A23,[2]METRICS!$AA$2:$AC$70,3,FALSE)</f>
        <v>26695.365599251189</v>
      </c>
      <c r="AG23">
        <v>0</v>
      </c>
      <c r="AH23">
        <f>VLOOKUP(A23,[2]METRICS!$AA$2:$AD$70,4,FALSE)</f>
        <v>2.3719840000000003</v>
      </c>
      <c r="AI23">
        <v>1</v>
      </c>
      <c r="AJ23">
        <v>67.803560000000004</v>
      </c>
      <c r="AK23">
        <v>4.8253969999999997</v>
      </c>
      <c r="AL23">
        <v>1.2229653457954175</v>
      </c>
      <c r="AM23">
        <v>1.0045967480730575</v>
      </c>
      <c r="AN23">
        <v>0</v>
      </c>
      <c r="AO23">
        <v>1</v>
      </c>
      <c r="AQ23">
        <v>313.89999999999998</v>
      </c>
      <c r="AR23">
        <v>13.1</v>
      </c>
      <c r="AS23">
        <v>3</v>
      </c>
      <c r="AT23" t="s">
        <v>30</v>
      </c>
    </row>
    <row r="24" spans="1:46" x14ac:dyDescent="0.25">
      <c r="A24" t="s">
        <v>52</v>
      </c>
      <c r="B24">
        <v>56.3240863179999</v>
      </c>
      <c r="C24">
        <v>2.129842752705996E-2</v>
      </c>
      <c r="D24">
        <v>2.1325453701910305E-2</v>
      </c>
      <c r="E24">
        <v>1</v>
      </c>
      <c r="G24">
        <v>0</v>
      </c>
      <c r="H24">
        <v>0</v>
      </c>
      <c r="I24">
        <v>0</v>
      </c>
      <c r="J24" t="s">
        <v>192</v>
      </c>
      <c r="K24" t="s">
        <v>192</v>
      </c>
      <c r="L24" t="s">
        <v>186</v>
      </c>
      <c r="M24" t="s">
        <v>186</v>
      </c>
      <c r="N24" t="str">
        <f t="shared" si="0"/>
        <v>Low</v>
      </c>
      <c r="O24" t="str">
        <f t="shared" si="1"/>
        <v>Low</v>
      </c>
      <c r="P24" t="str">
        <f t="shared" si="2"/>
        <v>Low</v>
      </c>
      <c r="Q24" t="str">
        <f t="shared" si="3"/>
        <v>Low</v>
      </c>
      <c r="R24" t="str">
        <f t="shared" si="4"/>
        <v>Low</v>
      </c>
      <c r="S24" t="str">
        <f t="shared" si="5"/>
        <v>Low</v>
      </c>
      <c r="T24" t="str">
        <f>VLOOKUP(A24,[1]R2R_N_corridors_Final50!$A$2:$AM$57,39,FALSE)</f>
        <v>Utilize_Low</v>
      </c>
      <c r="U24" t="str">
        <f>VLOOKUP(A24,[1]R2R_N_corridors_Final50!$A$2:$AO$57,41,FALSE)</f>
        <v>Utilize_Low</v>
      </c>
      <c r="V24" t="str">
        <f>VLOOKUP(A24,[1]R2R_N_corridors_Final50!$A$2:$AN$57,40,FALSE)</f>
        <v>Utilize_High</v>
      </c>
      <c r="W24" t="str">
        <f>VLOOKUP(A24,[1]R2R_N_corridors_Final50!$A$2:$AP$57,42,FALSE)</f>
        <v>Utilize_High</v>
      </c>
      <c r="X24" t="str">
        <f t="shared" si="6"/>
        <v>Low</v>
      </c>
      <c r="Y24" t="str">
        <f t="shared" si="7"/>
        <v>Low</v>
      </c>
      <c r="Z24" t="str">
        <f t="shared" si="8"/>
        <v>Low</v>
      </c>
      <c r="AA24" t="str">
        <f t="shared" si="9"/>
        <v>Low</v>
      </c>
      <c r="AB24" t="str">
        <f t="shared" si="10"/>
        <v>Low</v>
      </c>
      <c r="AC24" t="str">
        <f t="shared" si="11"/>
        <v>Low</v>
      </c>
      <c r="AD24" t="str">
        <f>VLOOKUP(A24,MultimodalConnectivity_Corridor!$A$2:$K$57,11,FALSE)</f>
        <v>High</v>
      </c>
      <c r="AE24">
        <f>VLOOKUP(A24,[2]METRICS!$AA$2:$AC$70,3,FALSE)</f>
        <v>135336.73429903755</v>
      </c>
      <c r="AG24">
        <v>1</v>
      </c>
      <c r="AH24">
        <f>VLOOKUP(A24,[2]METRICS!$AA$2:$AD$70,4,FALSE)</f>
        <v>6.7377734377163945</v>
      </c>
      <c r="AI24">
        <v>1</v>
      </c>
      <c r="AJ24">
        <v>100</v>
      </c>
      <c r="AK24">
        <v>5.1785709999999998</v>
      </c>
      <c r="AL24">
        <v>1.6326509302322989</v>
      </c>
      <c r="AM24">
        <v>1.0073845514206419</v>
      </c>
      <c r="AN24">
        <v>0</v>
      </c>
      <c r="AO24">
        <v>1</v>
      </c>
      <c r="AQ24">
        <v>243.45</v>
      </c>
      <c r="AR24">
        <v>1.1000000000000001</v>
      </c>
      <c r="AS24">
        <v>6</v>
      </c>
      <c r="AT24" t="s">
        <v>30</v>
      </c>
    </row>
    <row r="25" spans="1:46" x14ac:dyDescent="0.25">
      <c r="A25" t="s">
        <v>53</v>
      </c>
      <c r="B25">
        <v>43.110311660000001</v>
      </c>
      <c r="C25">
        <v>0.20747426471618732</v>
      </c>
      <c r="D25">
        <v>0.20020478068160369</v>
      </c>
      <c r="E25">
        <v>1</v>
      </c>
      <c r="G25">
        <v>1.8903639999999999</v>
      </c>
      <c r="H25">
        <v>9297.4562000000005</v>
      </c>
      <c r="I25">
        <v>443.710015</v>
      </c>
      <c r="J25" t="s">
        <v>186</v>
      </c>
      <c r="K25" t="s">
        <v>186</v>
      </c>
      <c r="L25" t="s">
        <v>188</v>
      </c>
      <c r="M25" t="s">
        <v>188</v>
      </c>
      <c r="N25" t="str">
        <f t="shared" si="0"/>
        <v>Low</v>
      </c>
      <c r="O25" t="str">
        <f t="shared" si="1"/>
        <v>Low</v>
      </c>
      <c r="P25" t="str">
        <f t="shared" si="2"/>
        <v>High</v>
      </c>
      <c r="Q25" t="str">
        <f t="shared" si="3"/>
        <v>High</v>
      </c>
      <c r="R25" t="str">
        <f t="shared" si="4"/>
        <v>Low</v>
      </c>
      <c r="S25" t="str">
        <f t="shared" si="5"/>
        <v>High</v>
      </c>
      <c r="T25" t="str">
        <f>VLOOKUP(A25,[1]R2R_N_corridors_Final50!$A$2:$AM$57,39,FALSE)</f>
        <v>Utilize_Low</v>
      </c>
      <c r="U25" t="str">
        <f>VLOOKUP(A25,[1]R2R_N_corridors_Final50!$A$2:$AO$57,41,FALSE)</f>
        <v>Utilize_Low</v>
      </c>
      <c r="V25" t="str">
        <f>VLOOKUP(A25,[1]R2R_N_corridors_Final50!$A$2:$AN$57,40,FALSE)</f>
        <v>Avoid_Med</v>
      </c>
      <c r="W25" t="str">
        <f>VLOOKUP(A25,[1]R2R_N_corridors_Final50!$A$2:$AP$57,42,FALSE)</f>
        <v>Avoid_Med</v>
      </c>
      <c r="X25" t="str">
        <f t="shared" si="6"/>
        <v>Low</v>
      </c>
      <c r="Y25" t="str">
        <f t="shared" si="7"/>
        <v>Low</v>
      </c>
      <c r="Z25" t="str">
        <f t="shared" si="8"/>
        <v>High</v>
      </c>
      <c r="AA25" t="str">
        <f t="shared" si="9"/>
        <v>High</v>
      </c>
      <c r="AB25" t="str">
        <f t="shared" si="10"/>
        <v>Low</v>
      </c>
      <c r="AC25" t="str">
        <f t="shared" si="11"/>
        <v>High</v>
      </c>
      <c r="AD25" t="str">
        <f>VLOOKUP(A25,MultimodalConnectivity_Corridor!$A$2:$K$57,11,FALSE)</f>
        <v>High</v>
      </c>
      <c r="AE25">
        <f>VLOOKUP(A25,[2]METRICS!$AA$2:$AC$70,3,FALSE)</f>
        <v>103586.39040742992</v>
      </c>
      <c r="AG25">
        <v>0</v>
      </c>
      <c r="AH25">
        <f>VLOOKUP(A25,[2]METRICS!$AA$2:$AD$70,4,FALSE)</f>
        <v>5.1570745622836061</v>
      </c>
      <c r="AI25">
        <v>1</v>
      </c>
      <c r="AJ25">
        <v>29.463536999999999</v>
      </c>
      <c r="AK25">
        <v>11.247934000000001</v>
      </c>
      <c r="AL25">
        <v>1.3417909742688683</v>
      </c>
      <c r="AM25">
        <v>1.0417623925424224</v>
      </c>
      <c r="AN25">
        <v>0</v>
      </c>
      <c r="AO25">
        <v>1</v>
      </c>
      <c r="AQ25">
        <v>358.85</v>
      </c>
      <c r="AR25">
        <v>3.2</v>
      </c>
      <c r="AS25">
        <v>8</v>
      </c>
      <c r="AT25" t="s">
        <v>29</v>
      </c>
    </row>
    <row r="26" spans="1:46" x14ac:dyDescent="0.25">
      <c r="A26" t="s">
        <v>54</v>
      </c>
      <c r="B26">
        <v>41.542048884700002</v>
      </c>
      <c r="C26">
        <v>5.1653366776133261E-2</v>
      </c>
      <c r="D26">
        <v>8.75379505618291E-2</v>
      </c>
      <c r="E26">
        <v>1</v>
      </c>
      <c r="G26">
        <v>0</v>
      </c>
      <c r="H26">
        <v>0</v>
      </c>
      <c r="I26">
        <v>0</v>
      </c>
      <c r="J26" t="s">
        <v>188</v>
      </c>
      <c r="K26" t="s">
        <v>188</v>
      </c>
      <c r="L26" t="s">
        <v>186</v>
      </c>
      <c r="M26" t="s">
        <v>186</v>
      </c>
      <c r="N26" t="str">
        <f t="shared" si="0"/>
        <v>High</v>
      </c>
      <c r="O26" t="str">
        <f t="shared" si="1"/>
        <v>High</v>
      </c>
      <c r="P26" t="str">
        <f t="shared" si="2"/>
        <v>Low</v>
      </c>
      <c r="Q26" t="str">
        <f t="shared" si="3"/>
        <v>Low</v>
      </c>
      <c r="R26" t="str">
        <f t="shared" si="4"/>
        <v>High</v>
      </c>
      <c r="S26" t="str">
        <f t="shared" si="5"/>
        <v>Low</v>
      </c>
      <c r="T26" t="str">
        <f>VLOOKUP(A26,[1]R2R_N_corridors_Final50!$A$2:$AM$57,39,FALSE)</f>
        <v>Utilize_Med</v>
      </c>
      <c r="U26" t="str">
        <f>VLOOKUP(A26,[1]R2R_N_corridors_Final50!$A$2:$AO$57,41,FALSE)</f>
        <v>Utilize_Med</v>
      </c>
      <c r="V26" t="str">
        <f>VLOOKUP(A26,[1]R2R_N_corridors_Final50!$A$2:$AN$57,40,FALSE)</f>
        <v>Utilize_High</v>
      </c>
      <c r="W26" t="str">
        <f>VLOOKUP(A26,[1]R2R_N_corridors_Final50!$A$2:$AP$57,42,FALSE)</f>
        <v>Utilize_High</v>
      </c>
      <c r="X26" t="str">
        <f t="shared" si="6"/>
        <v>Low</v>
      </c>
      <c r="Y26" t="str">
        <f t="shared" si="7"/>
        <v>Low</v>
      </c>
      <c r="Z26" t="str">
        <f t="shared" si="8"/>
        <v>Low</v>
      </c>
      <c r="AA26" t="str">
        <f t="shared" si="9"/>
        <v>Low</v>
      </c>
      <c r="AB26" t="str">
        <f t="shared" si="10"/>
        <v>Low</v>
      </c>
      <c r="AC26" t="str">
        <f t="shared" si="11"/>
        <v>Low</v>
      </c>
      <c r="AD26" t="str">
        <f>VLOOKUP(A26,MultimodalConnectivity_Corridor!$A$2:$K$57,11,FALSE)</f>
        <v>Low</v>
      </c>
      <c r="AE26">
        <f>VLOOKUP(A26,[2]METRICS!$AA$2:$AC$70,3,FALSE)</f>
        <v>8481.7203106018223</v>
      </c>
      <c r="AG26">
        <v>0</v>
      </c>
      <c r="AH26">
        <f>VLOOKUP(A26,[2]METRICS!$AA$2:$AD$70,4,FALSE)</f>
        <v>0</v>
      </c>
      <c r="AI26">
        <v>0</v>
      </c>
      <c r="AJ26">
        <v>94.921351000000001</v>
      </c>
      <c r="AK26">
        <v>7.5376339999999997</v>
      </c>
      <c r="AL26">
        <v>1</v>
      </c>
      <c r="AM26">
        <v>1.0134060774319311</v>
      </c>
      <c r="AN26">
        <v>0</v>
      </c>
      <c r="AO26">
        <v>1</v>
      </c>
      <c r="AQ26">
        <v>269.75</v>
      </c>
      <c r="AR26">
        <v>1.9</v>
      </c>
      <c r="AS26">
        <v>7</v>
      </c>
      <c r="AT26" t="s">
        <v>29</v>
      </c>
    </row>
    <row r="27" spans="1:46" x14ac:dyDescent="0.25">
      <c r="A27" t="s">
        <v>55</v>
      </c>
      <c r="B27">
        <v>76.8165697300999</v>
      </c>
      <c r="C27">
        <v>9.0147868988937591E-2</v>
      </c>
      <c r="D27">
        <v>0.10115324157619136</v>
      </c>
      <c r="E27">
        <v>1</v>
      </c>
      <c r="G27">
        <v>0</v>
      </c>
      <c r="H27">
        <v>0</v>
      </c>
      <c r="I27">
        <v>0</v>
      </c>
      <c r="J27" t="s">
        <v>188</v>
      </c>
      <c r="K27" t="s">
        <v>188</v>
      </c>
      <c r="L27" t="s">
        <v>190</v>
      </c>
      <c r="M27" t="s">
        <v>190</v>
      </c>
      <c r="N27" t="str">
        <f t="shared" si="0"/>
        <v>High</v>
      </c>
      <c r="O27" t="str">
        <f t="shared" si="1"/>
        <v>High</v>
      </c>
      <c r="P27" t="str">
        <f t="shared" si="2"/>
        <v>High</v>
      </c>
      <c r="Q27" t="str">
        <f t="shared" si="3"/>
        <v>High</v>
      </c>
      <c r="R27" t="str">
        <f t="shared" si="4"/>
        <v>High</v>
      </c>
      <c r="S27" t="str">
        <f t="shared" si="5"/>
        <v>High</v>
      </c>
      <c r="T27" t="str">
        <f>VLOOKUP(A27,[1]R2R_N_corridors_Final50!$A$2:$AM$57,39,FALSE)</f>
        <v>Avoid_Low</v>
      </c>
      <c r="U27" t="str">
        <f>VLOOKUP(A27,[1]R2R_N_corridors_Final50!$A$2:$AO$57,41,FALSE)</f>
        <v>Avoid_Low</v>
      </c>
      <c r="V27" t="str">
        <f>VLOOKUP(A27,[1]R2R_N_corridors_Final50!$A$2:$AN$57,40,FALSE)</f>
        <v>Utilize_High</v>
      </c>
      <c r="W27" t="str">
        <f>VLOOKUP(A27,[1]R2R_N_corridors_Final50!$A$2:$AP$57,42,FALSE)</f>
        <v>Utilize_High</v>
      </c>
      <c r="X27" t="str">
        <f t="shared" si="6"/>
        <v>High</v>
      </c>
      <c r="Y27" t="str">
        <f t="shared" si="7"/>
        <v>High</v>
      </c>
      <c r="Z27" t="str">
        <f t="shared" si="8"/>
        <v>Low</v>
      </c>
      <c r="AA27" t="str">
        <f t="shared" si="9"/>
        <v>Low</v>
      </c>
      <c r="AB27" t="str">
        <f t="shared" si="10"/>
        <v>High</v>
      </c>
      <c r="AC27" t="str">
        <f t="shared" si="11"/>
        <v>Low</v>
      </c>
      <c r="AD27" t="str">
        <f>VLOOKUP(A27,MultimodalConnectivity_Corridor!$A$2:$K$57,11,FALSE)</f>
        <v>High</v>
      </c>
      <c r="AE27">
        <f>VLOOKUP(A27,[2]METRICS!$AA$2:$AC$70,3,FALSE)</f>
        <v>91.091571214960297</v>
      </c>
      <c r="AG27">
        <v>0</v>
      </c>
      <c r="AH27">
        <f>VLOOKUP(A27,[2]METRICS!$AA$2:$AD$70,4,FALSE)</f>
        <v>0</v>
      </c>
      <c r="AI27">
        <v>0</v>
      </c>
      <c r="AJ27">
        <v>98.942004999999995</v>
      </c>
      <c r="AK27">
        <v>4.8679249999999996</v>
      </c>
      <c r="AL27">
        <v>1.008925587068936</v>
      </c>
      <c r="AM27">
        <v>1.1040225800541066</v>
      </c>
      <c r="AN27">
        <v>0</v>
      </c>
      <c r="AO27">
        <v>1</v>
      </c>
      <c r="AQ27">
        <v>436.6</v>
      </c>
      <c r="AR27">
        <v>3.3</v>
      </c>
      <c r="AS27">
        <v>9</v>
      </c>
      <c r="AT27" t="s">
        <v>32</v>
      </c>
    </row>
    <row r="28" spans="1:46" x14ac:dyDescent="0.25">
      <c r="A28" t="s">
        <v>56</v>
      </c>
      <c r="B28">
        <v>75.904228896299898</v>
      </c>
      <c r="C28">
        <v>0.10132035523918724</v>
      </c>
      <c r="D28">
        <v>0.13302608052446993</v>
      </c>
      <c r="E28">
        <v>1</v>
      </c>
      <c r="G28">
        <v>0</v>
      </c>
      <c r="H28">
        <v>0</v>
      </c>
      <c r="I28">
        <v>0</v>
      </c>
      <c r="J28" t="s">
        <v>192</v>
      </c>
      <c r="K28" t="s">
        <v>192</v>
      </c>
      <c r="L28" t="s">
        <v>192</v>
      </c>
      <c r="M28" t="s">
        <v>192</v>
      </c>
      <c r="N28" t="str">
        <f t="shared" si="0"/>
        <v>Low</v>
      </c>
      <c r="O28" t="str">
        <f t="shared" si="1"/>
        <v>Low</v>
      </c>
      <c r="P28" t="str">
        <f t="shared" si="2"/>
        <v>Low</v>
      </c>
      <c r="Q28" t="str">
        <f t="shared" si="3"/>
        <v>Low</v>
      </c>
      <c r="R28" t="str">
        <f t="shared" si="4"/>
        <v>Low</v>
      </c>
      <c r="S28" t="str">
        <f t="shared" si="5"/>
        <v>Low</v>
      </c>
      <c r="T28" t="str">
        <f>VLOOKUP(A28,[1]R2R_N_corridors_Final50!$A$2:$AM$57,39,FALSE)</f>
        <v>Utilize_Med</v>
      </c>
      <c r="U28" t="str">
        <f>VLOOKUP(A28,[1]R2R_N_corridors_Final50!$A$2:$AO$57,41,FALSE)</f>
        <v>Utilize_Med</v>
      </c>
      <c r="V28" t="str">
        <f>VLOOKUP(A28,[1]R2R_N_corridors_Final50!$A$2:$AN$57,40,FALSE)</f>
        <v>Utilize_High</v>
      </c>
      <c r="W28" t="str">
        <f>VLOOKUP(A28,[1]R2R_N_corridors_Final50!$A$2:$AP$57,42,FALSE)</f>
        <v>Utilize_High</v>
      </c>
      <c r="X28" t="str">
        <f t="shared" si="6"/>
        <v>Low</v>
      </c>
      <c r="Y28" t="str">
        <f t="shared" si="7"/>
        <v>Low</v>
      </c>
      <c r="Z28" t="str">
        <f t="shared" si="8"/>
        <v>Low</v>
      </c>
      <c r="AA28" t="str">
        <f t="shared" si="9"/>
        <v>Low</v>
      </c>
      <c r="AB28" t="str">
        <f t="shared" si="10"/>
        <v>Low</v>
      </c>
      <c r="AC28" t="str">
        <f t="shared" si="11"/>
        <v>Low</v>
      </c>
      <c r="AD28" t="str">
        <f>VLOOKUP(A28,MultimodalConnectivity_Corridor!$A$2:$K$57,11,FALSE)</f>
        <v>Low</v>
      </c>
      <c r="AE28">
        <f>VLOOKUP(A28,[2]METRICS!$AA$2:$AC$70,3,FALSE)</f>
        <v>20768.635997710287</v>
      </c>
      <c r="AG28">
        <v>0</v>
      </c>
      <c r="AH28">
        <f>VLOOKUP(A28,[2]METRICS!$AA$2:$AD$70,4,FALSE)</f>
        <v>1.701012</v>
      </c>
      <c r="AI28">
        <v>0</v>
      </c>
      <c r="AJ28">
        <v>62.093412000000001</v>
      </c>
      <c r="AK28">
        <v>5.6071429999999998</v>
      </c>
      <c r="AL28">
        <v>1.0829873498896192</v>
      </c>
      <c r="AM28">
        <v>1.0557230392081891</v>
      </c>
      <c r="AN28">
        <v>0</v>
      </c>
      <c r="AO28">
        <v>1.0033307977714128</v>
      </c>
      <c r="AQ28">
        <v>456.95</v>
      </c>
      <c r="AR28">
        <v>4.7</v>
      </c>
      <c r="AS28">
        <v>9</v>
      </c>
      <c r="AT28" t="s">
        <v>30</v>
      </c>
    </row>
    <row r="29" spans="1:46" x14ac:dyDescent="0.25">
      <c r="A29" t="s">
        <v>57</v>
      </c>
      <c r="B29">
        <v>24.2876317204</v>
      </c>
      <c r="C29">
        <v>0.28274546741004192</v>
      </c>
      <c r="D29">
        <v>0.33583450265157377</v>
      </c>
      <c r="E29">
        <v>1</v>
      </c>
      <c r="G29">
        <v>2.1191789999999999</v>
      </c>
      <c r="H29">
        <v>16407.630662</v>
      </c>
      <c r="I29">
        <v>888.48335599999996</v>
      </c>
      <c r="J29" t="s">
        <v>187</v>
      </c>
      <c r="K29" t="s">
        <v>187</v>
      </c>
      <c r="L29" t="s">
        <v>191</v>
      </c>
      <c r="M29" t="s">
        <v>191</v>
      </c>
      <c r="N29" t="str">
        <f t="shared" si="0"/>
        <v>Low</v>
      </c>
      <c r="O29" t="str">
        <f t="shared" si="1"/>
        <v>Low</v>
      </c>
      <c r="P29" t="str">
        <f t="shared" si="2"/>
        <v>High</v>
      </c>
      <c r="Q29" t="str">
        <f t="shared" si="3"/>
        <v>High</v>
      </c>
      <c r="R29" t="str">
        <f t="shared" si="4"/>
        <v>Low</v>
      </c>
      <c r="S29" t="str">
        <f t="shared" si="5"/>
        <v>High</v>
      </c>
      <c r="T29" t="str">
        <f>VLOOKUP(A29,[1]R2R_N_corridors_Final50!$A$2:$AM$57,39,FALSE)</f>
        <v>Utilize_High</v>
      </c>
      <c r="U29" t="str">
        <f>VLOOKUP(A29,[1]R2R_N_corridors_Final50!$A$2:$AO$57,41,FALSE)</f>
        <v>Utilize_High</v>
      </c>
      <c r="V29" t="str">
        <f>VLOOKUP(A29,[1]R2R_N_corridors_Final50!$A$2:$AN$57,40,FALSE)</f>
        <v>Utilize_Med</v>
      </c>
      <c r="W29" t="str">
        <f>VLOOKUP(A29,[1]R2R_N_corridors_Final50!$A$2:$AP$57,42,FALSE)</f>
        <v>Utilize_Med</v>
      </c>
      <c r="X29" t="str">
        <f t="shared" si="6"/>
        <v>Low</v>
      </c>
      <c r="Y29" t="str">
        <f t="shared" si="7"/>
        <v>Low</v>
      </c>
      <c r="Z29" t="str">
        <f t="shared" si="8"/>
        <v>Low</v>
      </c>
      <c r="AA29" t="str">
        <f t="shared" si="9"/>
        <v>Low</v>
      </c>
      <c r="AB29" t="str">
        <f t="shared" si="10"/>
        <v>Low</v>
      </c>
      <c r="AC29" t="str">
        <f t="shared" si="11"/>
        <v>Low</v>
      </c>
      <c r="AD29" t="str">
        <f>VLOOKUP(A29,MultimodalConnectivity_Corridor!$A$2:$K$57,11,FALSE)</f>
        <v>High</v>
      </c>
      <c r="AE29">
        <f>VLOOKUP(A29,[2]METRICS!$AA$2:$AC$70,3,FALSE)</f>
        <v>636160.97660782433</v>
      </c>
      <c r="AG29">
        <v>0</v>
      </c>
      <c r="AH29">
        <f>VLOOKUP(A29,[2]METRICS!$AA$2:$AD$70,4,FALSE)</f>
        <v>4.2965460000000002</v>
      </c>
      <c r="AI29">
        <v>0</v>
      </c>
      <c r="AJ29">
        <v>28.996843999999999</v>
      </c>
      <c r="AK29">
        <v>9.4210530000000006</v>
      </c>
      <c r="AL29">
        <v>1.0713499778217395</v>
      </c>
      <c r="AM29">
        <v>1.0469767822744638</v>
      </c>
      <c r="AN29">
        <v>0</v>
      </c>
      <c r="AO29">
        <v>1</v>
      </c>
      <c r="AQ29">
        <v>583.70000000000005</v>
      </c>
      <c r="AR29">
        <v>10.199999999999999</v>
      </c>
      <c r="AS29">
        <v>3</v>
      </c>
      <c r="AT29" t="s">
        <v>30</v>
      </c>
    </row>
    <row r="30" spans="1:46" x14ac:dyDescent="0.25">
      <c r="A30" t="s">
        <v>58</v>
      </c>
      <c r="B30">
        <v>16.2004129271</v>
      </c>
      <c r="C30">
        <v>5.0332380148064716E-2</v>
      </c>
      <c r="D30">
        <v>3.5707406694027527E-2</v>
      </c>
      <c r="E30">
        <v>1</v>
      </c>
      <c r="G30">
        <v>0</v>
      </c>
      <c r="H30">
        <v>0</v>
      </c>
      <c r="I30">
        <v>0</v>
      </c>
      <c r="J30" t="s">
        <v>188</v>
      </c>
      <c r="K30" t="s">
        <v>188</v>
      </c>
      <c r="L30" t="s">
        <v>190</v>
      </c>
      <c r="M30" t="s">
        <v>190</v>
      </c>
      <c r="N30" t="str">
        <f t="shared" si="0"/>
        <v>High</v>
      </c>
      <c r="O30" t="str">
        <f t="shared" si="1"/>
        <v>High</v>
      </c>
      <c r="P30" t="str">
        <f t="shared" si="2"/>
        <v>High</v>
      </c>
      <c r="Q30" t="str">
        <f t="shared" si="3"/>
        <v>High</v>
      </c>
      <c r="R30" t="str">
        <f t="shared" si="4"/>
        <v>High</v>
      </c>
      <c r="S30" t="str">
        <f t="shared" si="5"/>
        <v>High</v>
      </c>
      <c r="T30" t="str">
        <f>VLOOKUP(A30,[1]R2R_N_corridors_Final50!$A$2:$AM$57,39,FALSE)</f>
        <v>Utilize_Low</v>
      </c>
      <c r="U30" t="str">
        <f>VLOOKUP(A30,[1]R2R_N_corridors_Final50!$A$2:$AO$57,41,FALSE)</f>
        <v>Utilize_Low</v>
      </c>
      <c r="V30" t="str">
        <f>VLOOKUP(A30,[1]R2R_N_corridors_Final50!$A$2:$AN$57,40,FALSE)</f>
        <v>Avoid_Med</v>
      </c>
      <c r="W30" t="str">
        <f>VLOOKUP(A30,[1]R2R_N_corridors_Final50!$A$2:$AP$57,42,FALSE)</f>
        <v>Avoid_Med</v>
      </c>
      <c r="X30" t="str">
        <f t="shared" si="6"/>
        <v>Low</v>
      </c>
      <c r="Y30" t="str">
        <f t="shared" si="7"/>
        <v>Low</v>
      </c>
      <c r="Z30" t="str">
        <f t="shared" si="8"/>
        <v>High</v>
      </c>
      <c r="AA30" t="str">
        <f t="shared" si="9"/>
        <v>High</v>
      </c>
      <c r="AB30" t="str">
        <f t="shared" si="10"/>
        <v>Low</v>
      </c>
      <c r="AC30" t="str">
        <f t="shared" si="11"/>
        <v>High</v>
      </c>
      <c r="AD30" t="str">
        <f>VLOOKUP(A30,MultimodalConnectivity_Corridor!$A$2:$K$57,11,FALSE)</f>
        <v>Low</v>
      </c>
      <c r="AE30">
        <f>VLOOKUP(A30,[2]METRICS!$AA$2:$AC$70,3,FALSE)</f>
        <v>117157.57527829465</v>
      </c>
      <c r="AG30">
        <v>0</v>
      </c>
      <c r="AH30">
        <f>VLOOKUP(A30,[2]METRICS!$AA$2:$AD$70,4,FALSE)</f>
        <v>0.28066200000000002</v>
      </c>
      <c r="AI30">
        <v>0</v>
      </c>
      <c r="AJ30">
        <v>70.487317000000004</v>
      </c>
      <c r="AK30">
        <v>5.7575760000000002</v>
      </c>
      <c r="AL30">
        <v>1</v>
      </c>
      <c r="AM30">
        <v>1.0332117935135172</v>
      </c>
      <c r="AN30">
        <v>0</v>
      </c>
      <c r="AO30">
        <v>1</v>
      </c>
      <c r="AQ30">
        <v>296.8</v>
      </c>
      <c r="AR30">
        <v>4.3</v>
      </c>
      <c r="AS30">
        <v>2</v>
      </c>
      <c r="AT30" t="s">
        <v>29</v>
      </c>
    </row>
    <row r="31" spans="1:46" x14ac:dyDescent="0.25">
      <c r="A31" t="s">
        <v>59</v>
      </c>
      <c r="B31">
        <v>16.3123234551</v>
      </c>
      <c r="C31">
        <v>2.8270655458676797E-2</v>
      </c>
      <c r="D31">
        <v>7.4848171846294817E-2</v>
      </c>
      <c r="E31">
        <v>1</v>
      </c>
      <c r="G31">
        <v>0</v>
      </c>
      <c r="H31">
        <v>0</v>
      </c>
      <c r="I31">
        <v>0</v>
      </c>
      <c r="J31" t="s">
        <v>186</v>
      </c>
      <c r="K31" t="s">
        <v>186</v>
      </c>
      <c r="L31" t="s">
        <v>188</v>
      </c>
      <c r="M31" t="s">
        <v>188</v>
      </c>
      <c r="N31" t="str">
        <f t="shared" si="0"/>
        <v>Low</v>
      </c>
      <c r="O31" t="str">
        <f t="shared" si="1"/>
        <v>Low</v>
      </c>
      <c r="P31" t="str">
        <f t="shared" si="2"/>
        <v>High</v>
      </c>
      <c r="Q31" t="str">
        <f t="shared" si="3"/>
        <v>High</v>
      </c>
      <c r="R31" t="str">
        <f t="shared" si="4"/>
        <v>Low</v>
      </c>
      <c r="S31" t="str">
        <f t="shared" si="5"/>
        <v>High</v>
      </c>
      <c r="T31" t="str">
        <f>VLOOKUP(A31,[1]R2R_N_corridors_Final50!$A$2:$AM$57,39,FALSE)</f>
        <v>Utilize_Med</v>
      </c>
      <c r="U31" t="str">
        <f>VLOOKUP(A31,[1]R2R_N_corridors_Final50!$A$2:$AO$57,41,FALSE)</f>
        <v>Utilize_Med</v>
      </c>
      <c r="V31" t="str">
        <f>VLOOKUP(A31,[1]R2R_N_corridors_Final50!$A$2:$AN$57,40,FALSE)</f>
        <v>Utilize_High</v>
      </c>
      <c r="W31" t="str">
        <f>VLOOKUP(A31,[1]R2R_N_corridors_Final50!$A$2:$AP$57,42,FALSE)</f>
        <v>Utilize_High</v>
      </c>
      <c r="X31" t="str">
        <f t="shared" si="6"/>
        <v>Low</v>
      </c>
      <c r="Y31" t="str">
        <f t="shared" si="7"/>
        <v>Low</v>
      </c>
      <c r="Z31" t="str">
        <f t="shared" si="8"/>
        <v>Low</v>
      </c>
      <c r="AA31" t="str">
        <f t="shared" si="9"/>
        <v>Low</v>
      </c>
      <c r="AB31" t="str">
        <f t="shared" si="10"/>
        <v>Low</v>
      </c>
      <c r="AC31" t="str">
        <f t="shared" si="11"/>
        <v>Low</v>
      </c>
      <c r="AD31" t="str">
        <f>VLOOKUP(A31,MultimodalConnectivity_Corridor!$A$2:$K$57,11,FALSE)</f>
        <v>Med</v>
      </c>
      <c r="AE31">
        <f>VLOOKUP(A31,[2]METRICS!$AA$2:$AC$70,3,FALSE)</f>
        <v>6371.5316129526991</v>
      </c>
      <c r="AG31">
        <v>0</v>
      </c>
      <c r="AH31">
        <f>VLOOKUP(A31,[2]METRICS!$AA$2:$AD$70,4,FALSE)</f>
        <v>0.58067702347356132</v>
      </c>
      <c r="AI31">
        <v>0</v>
      </c>
      <c r="AJ31">
        <v>68.600060999999997</v>
      </c>
      <c r="AK31">
        <v>6.4411759999999996</v>
      </c>
      <c r="AL31">
        <v>1</v>
      </c>
      <c r="AM31">
        <v>1.0026417682281097</v>
      </c>
      <c r="AN31">
        <v>0</v>
      </c>
      <c r="AO31">
        <v>1</v>
      </c>
      <c r="AQ31">
        <v>393.55</v>
      </c>
      <c r="AR31">
        <v>3.7</v>
      </c>
      <c r="AS31">
        <v>8</v>
      </c>
      <c r="AT31" t="s">
        <v>30</v>
      </c>
    </row>
    <row r="32" spans="1:46" x14ac:dyDescent="0.25">
      <c r="A32" t="s">
        <v>60</v>
      </c>
      <c r="B32">
        <v>84.428982097299894</v>
      </c>
      <c r="C32">
        <v>0.24172568839795688</v>
      </c>
      <c r="D32">
        <v>0.49237223402112379</v>
      </c>
      <c r="E32">
        <v>1</v>
      </c>
      <c r="G32">
        <v>2.4313099999999999</v>
      </c>
      <c r="H32">
        <v>63663.844443000002</v>
      </c>
      <c r="I32">
        <v>2529.7467200000001</v>
      </c>
      <c r="J32" t="s">
        <v>186</v>
      </c>
      <c r="K32" t="s">
        <v>186</v>
      </c>
      <c r="L32" t="s">
        <v>191</v>
      </c>
      <c r="M32" t="s">
        <v>191</v>
      </c>
      <c r="N32" t="str">
        <f t="shared" si="0"/>
        <v>Low</v>
      </c>
      <c r="O32" t="str">
        <f t="shared" si="1"/>
        <v>Low</v>
      </c>
      <c r="P32" t="str">
        <f t="shared" si="2"/>
        <v>High</v>
      </c>
      <c r="Q32" t="str">
        <f t="shared" si="3"/>
        <v>High</v>
      </c>
      <c r="R32" t="str">
        <f t="shared" si="4"/>
        <v>Low</v>
      </c>
      <c r="S32" t="str">
        <f t="shared" si="5"/>
        <v>High</v>
      </c>
      <c r="T32" t="str">
        <f>VLOOKUP(A32,[1]R2R_N_corridors_Final50!$A$2:$AM$57,39,FALSE)</f>
        <v>Utilize_High</v>
      </c>
      <c r="U32" t="str">
        <f>VLOOKUP(A32,[1]R2R_N_corridors_Final50!$A$2:$AO$57,41,FALSE)</f>
        <v>Utilize_High</v>
      </c>
      <c r="V32" t="str">
        <f>VLOOKUP(A32,[1]R2R_N_corridors_Final50!$A$2:$AN$57,40,FALSE)</f>
        <v>Utilize_High</v>
      </c>
      <c r="W32" t="str">
        <f>VLOOKUP(A32,[1]R2R_N_corridors_Final50!$A$2:$AP$57,42,FALSE)</f>
        <v>Utilize_High</v>
      </c>
      <c r="X32" t="str">
        <f t="shared" si="6"/>
        <v>Low</v>
      </c>
      <c r="Y32" t="str">
        <f t="shared" si="7"/>
        <v>Low</v>
      </c>
      <c r="Z32" t="str">
        <f t="shared" si="8"/>
        <v>Low</v>
      </c>
      <c r="AA32" t="str">
        <f t="shared" si="9"/>
        <v>Low</v>
      </c>
      <c r="AB32" t="str">
        <f t="shared" si="10"/>
        <v>Low</v>
      </c>
      <c r="AC32" t="str">
        <f t="shared" si="11"/>
        <v>Low</v>
      </c>
      <c r="AD32" t="str">
        <f>VLOOKUP(A32,MultimodalConnectivity_Corridor!$A$2:$K$57,11,FALSE)</f>
        <v>Med</v>
      </c>
      <c r="AE32">
        <f>VLOOKUP(A32,[2]METRICS!$AA$2:$AC$70,3,FALSE)</f>
        <v>32977.639878406029</v>
      </c>
      <c r="AG32">
        <v>1</v>
      </c>
      <c r="AH32">
        <f>VLOOKUP(A32,[2]METRICS!$AA$2:$AD$70,4,FALSE)</f>
        <v>3.0054559765264384</v>
      </c>
      <c r="AI32">
        <v>0</v>
      </c>
      <c r="AJ32">
        <v>100</v>
      </c>
      <c r="AK32">
        <v>5.9223299999999997</v>
      </c>
      <c r="AL32">
        <v>1</v>
      </c>
      <c r="AM32">
        <v>1.1028763403857742</v>
      </c>
      <c r="AN32">
        <v>0</v>
      </c>
      <c r="AO32">
        <v>1</v>
      </c>
      <c r="AQ32">
        <v>680.85</v>
      </c>
      <c r="AR32">
        <v>17</v>
      </c>
      <c r="AS32">
        <v>10</v>
      </c>
      <c r="AT32" t="s">
        <v>30</v>
      </c>
    </row>
    <row r="33" spans="1:46" x14ac:dyDescent="0.25">
      <c r="A33" t="s">
        <v>61</v>
      </c>
      <c r="B33">
        <v>23.3867259365</v>
      </c>
      <c r="C33">
        <v>9.8569807089674139E-2</v>
      </c>
      <c r="D33">
        <v>8.5867885619495293E-2</v>
      </c>
      <c r="E33">
        <v>1</v>
      </c>
      <c r="G33">
        <v>0</v>
      </c>
      <c r="H33">
        <v>0</v>
      </c>
      <c r="I33">
        <v>0</v>
      </c>
      <c r="J33" t="s">
        <v>190</v>
      </c>
      <c r="K33" t="s">
        <v>190</v>
      </c>
      <c r="L33" t="s">
        <v>190</v>
      </c>
      <c r="M33" t="s">
        <v>190</v>
      </c>
      <c r="N33" t="str">
        <f t="shared" si="0"/>
        <v>High</v>
      </c>
      <c r="O33" t="str">
        <f t="shared" si="1"/>
        <v>High</v>
      </c>
      <c r="P33" t="str">
        <f t="shared" si="2"/>
        <v>High</v>
      </c>
      <c r="Q33" t="str">
        <f t="shared" si="3"/>
        <v>High</v>
      </c>
      <c r="R33" t="str">
        <f t="shared" si="4"/>
        <v>High</v>
      </c>
      <c r="S33" t="str">
        <f t="shared" si="5"/>
        <v>High</v>
      </c>
      <c r="T33" t="str">
        <f>VLOOKUP(A33,[1]R2R_N_corridors_Final50!$A$2:$AM$57,39,FALSE)</f>
        <v>Utilize_Med</v>
      </c>
      <c r="U33" t="str">
        <f>VLOOKUP(A33,[1]R2R_N_corridors_Final50!$A$2:$AO$57,41,FALSE)</f>
        <v>Utilize_Med</v>
      </c>
      <c r="V33" t="str">
        <f>VLOOKUP(A33,[1]R2R_N_corridors_Final50!$A$2:$AN$57,40,FALSE)</f>
        <v>Avoid_Med</v>
      </c>
      <c r="W33" t="str">
        <f>VLOOKUP(A33,[1]R2R_N_corridors_Final50!$A$2:$AP$57,42,FALSE)</f>
        <v>Avoid_Med</v>
      </c>
      <c r="X33" t="str">
        <f t="shared" si="6"/>
        <v>Low</v>
      </c>
      <c r="Y33" t="str">
        <f t="shared" si="7"/>
        <v>Low</v>
      </c>
      <c r="Z33" t="str">
        <f t="shared" si="8"/>
        <v>High</v>
      </c>
      <c r="AA33" t="str">
        <f t="shared" si="9"/>
        <v>High</v>
      </c>
      <c r="AB33" t="str">
        <f t="shared" si="10"/>
        <v>Low</v>
      </c>
      <c r="AC33" t="str">
        <f t="shared" si="11"/>
        <v>High</v>
      </c>
      <c r="AD33" t="str">
        <f>VLOOKUP(A33,MultimodalConnectivity_Corridor!$A$2:$K$57,11,FALSE)</f>
        <v>High</v>
      </c>
      <c r="AE33">
        <f>VLOOKUP(A33,[2]METRICS!$AA$2:$AC$70,3,FALSE)</f>
        <v>871.13166782900942</v>
      </c>
      <c r="AG33">
        <v>0</v>
      </c>
      <c r="AH33">
        <f>VLOOKUP(A33,[2]METRICS!$AA$2:$AD$70,4,FALSE)</f>
        <v>0</v>
      </c>
      <c r="AI33">
        <v>0</v>
      </c>
      <c r="AJ33">
        <v>96.066312999999994</v>
      </c>
      <c r="AK33">
        <v>8.4102560000000004</v>
      </c>
      <c r="AL33">
        <v>1.2036035167996804</v>
      </c>
      <c r="AM33">
        <v>1.1458315868830746</v>
      </c>
      <c r="AN33">
        <v>0</v>
      </c>
      <c r="AO33">
        <v>1</v>
      </c>
      <c r="AQ33">
        <v>531.54999999999995</v>
      </c>
      <c r="AR33">
        <v>7.3</v>
      </c>
      <c r="AS33">
        <v>3</v>
      </c>
      <c r="AT33" t="s">
        <v>29</v>
      </c>
    </row>
    <row r="34" spans="1:46" x14ac:dyDescent="0.25">
      <c r="A34" t="s">
        <v>62</v>
      </c>
      <c r="B34">
        <v>21.4947777289999</v>
      </c>
      <c r="C34">
        <v>1.0960365364128467E-2</v>
      </c>
      <c r="D34">
        <v>2.2521107429731502E-2</v>
      </c>
      <c r="E34">
        <v>1</v>
      </c>
      <c r="G34">
        <v>1.6861299999999999</v>
      </c>
      <c r="H34">
        <v>89.956594999999993</v>
      </c>
      <c r="I34">
        <v>1152.3041089999999</v>
      </c>
      <c r="J34" t="s">
        <v>188</v>
      </c>
      <c r="K34" t="s">
        <v>188</v>
      </c>
      <c r="L34" t="s">
        <v>191</v>
      </c>
      <c r="M34" t="s">
        <v>191</v>
      </c>
      <c r="N34" t="str">
        <f t="shared" si="0"/>
        <v>High</v>
      </c>
      <c r="O34" t="str">
        <f t="shared" si="1"/>
        <v>High</v>
      </c>
      <c r="P34" t="str">
        <f t="shared" si="2"/>
        <v>High</v>
      </c>
      <c r="Q34" t="str">
        <f t="shared" si="3"/>
        <v>High</v>
      </c>
      <c r="R34" t="str">
        <f t="shared" si="4"/>
        <v>High</v>
      </c>
      <c r="S34" t="str">
        <f t="shared" si="5"/>
        <v>High</v>
      </c>
      <c r="T34" t="str">
        <f>VLOOKUP(A34,[1]R2R_N_corridors_Final50!$A$2:$AM$57,39,FALSE)</f>
        <v>Utilize_Low</v>
      </c>
      <c r="U34" t="str">
        <f>VLOOKUP(A34,[1]R2R_N_corridors_Final50!$A$2:$AO$57,41,FALSE)</f>
        <v>Utilize_Low</v>
      </c>
      <c r="V34" t="str">
        <f>VLOOKUP(A34,[1]R2R_N_corridors_Final50!$A$2:$AN$57,40,FALSE)</f>
        <v>Utilize_Med</v>
      </c>
      <c r="W34" t="str">
        <f>VLOOKUP(A34,[1]R2R_N_corridors_Final50!$A$2:$AP$57,42,FALSE)</f>
        <v>Utilize_Med</v>
      </c>
      <c r="X34" t="str">
        <f t="shared" si="6"/>
        <v>Low</v>
      </c>
      <c r="Y34" t="str">
        <f t="shared" si="7"/>
        <v>Low</v>
      </c>
      <c r="Z34" t="str">
        <f t="shared" si="8"/>
        <v>Low</v>
      </c>
      <c r="AA34" t="str">
        <f t="shared" si="9"/>
        <v>Low</v>
      </c>
      <c r="AB34" t="str">
        <f t="shared" si="10"/>
        <v>Low</v>
      </c>
      <c r="AC34" t="str">
        <f t="shared" si="11"/>
        <v>Low</v>
      </c>
      <c r="AD34" t="str">
        <f>VLOOKUP(A34,MultimodalConnectivity_Corridor!$A$2:$K$57,11,FALSE)</f>
        <v>Med</v>
      </c>
      <c r="AE34">
        <f>VLOOKUP(A34,[2]METRICS!$AA$2:$AC$70,3,FALSE)</f>
        <v>4886.0925761443759</v>
      </c>
      <c r="AG34">
        <v>1</v>
      </c>
      <c r="AH34">
        <f>VLOOKUP(A34,[2]METRICS!$AA$2:$AD$70,4,FALSE)</f>
        <v>0</v>
      </c>
      <c r="AI34">
        <v>0</v>
      </c>
      <c r="AJ34">
        <v>25.695398999999998</v>
      </c>
      <c r="AK34">
        <v>11.488372</v>
      </c>
      <c r="AL34">
        <v>2.9217360432502204</v>
      </c>
      <c r="AM34">
        <v>1.1864371749709188</v>
      </c>
      <c r="AN34">
        <v>0</v>
      </c>
      <c r="AO34">
        <v>1.0606696391451709</v>
      </c>
      <c r="AQ34">
        <v>184.25</v>
      </c>
      <c r="AR34">
        <v>1.8</v>
      </c>
      <c r="AS34">
        <v>3</v>
      </c>
      <c r="AT34" t="s">
        <v>30</v>
      </c>
    </row>
    <row r="35" spans="1:46" x14ac:dyDescent="0.25">
      <c r="A35" t="s">
        <v>63</v>
      </c>
      <c r="B35">
        <v>56.814608672299897</v>
      </c>
      <c r="C35">
        <v>0.13951304670832673</v>
      </c>
      <c r="D35">
        <v>0.10834179369557935</v>
      </c>
      <c r="E35">
        <v>1</v>
      </c>
      <c r="G35">
        <v>0</v>
      </c>
      <c r="H35">
        <v>0</v>
      </c>
      <c r="I35">
        <v>0</v>
      </c>
      <c r="J35" t="s">
        <v>187</v>
      </c>
      <c r="K35" t="s">
        <v>187</v>
      </c>
      <c r="L35" t="s">
        <v>187</v>
      </c>
      <c r="M35" t="s">
        <v>187</v>
      </c>
      <c r="N35" t="str">
        <f t="shared" si="0"/>
        <v>Low</v>
      </c>
      <c r="O35" t="str">
        <f t="shared" si="1"/>
        <v>Low</v>
      </c>
      <c r="P35" t="str">
        <f t="shared" si="2"/>
        <v>Low</v>
      </c>
      <c r="Q35" t="str">
        <f t="shared" si="3"/>
        <v>Low</v>
      </c>
      <c r="R35" t="str">
        <f t="shared" si="4"/>
        <v>Low</v>
      </c>
      <c r="S35" t="str">
        <f t="shared" si="5"/>
        <v>Low</v>
      </c>
      <c r="T35" t="str">
        <f>VLOOKUP(A35,[1]R2R_N_corridors_Final50!$A$2:$AM$57,39,FALSE)</f>
        <v>Utilize_High</v>
      </c>
      <c r="U35" t="str">
        <f>VLOOKUP(A35,[1]R2R_N_corridors_Final50!$A$2:$AO$57,41,FALSE)</f>
        <v>Utilize_High</v>
      </c>
      <c r="V35" t="str">
        <f>VLOOKUP(A35,[1]R2R_N_corridors_Final50!$A$2:$AN$57,40,FALSE)</f>
        <v>Utilize_High</v>
      </c>
      <c r="W35" t="str">
        <f>VLOOKUP(A35,[1]R2R_N_corridors_Final50!$A$2:$AP$57,42,FALSE)</f>
        <v>Utilize_High</v>
      </c>
      <c r="X35" t="str">
        <f t="shared" si="6"/>
        <v>Low</v>
      </c>
      <c r="Y35" t="str">
        <f t="shared" si="7"/>
        <v>Low</v>
      </c>
      <c r="Z35" t="str">
        <f t="shared" si="8"/>
        <v>Low</v>
      </c>
      <c r="AA35" t="str">
        <f t="shared" si="9"/>
        <v>Low</v>
      </c>
      <c r="AB35" t="str">
        <f t="shared" si="10"/>
        <v>Low</v>
      </c>
      <c r="AC35" t="str">
        <f t="shared" si="11"/>
        <v>Low</v>
      </c>
      <c r="AD35" t="str">
        <f>VLOOKUP(A35,MultimodalConnectivity_Corridor!$A$2:$K$57,11,FALSE)</f>
        <v>High</v>
      </c>
      <c r="AE35">
        <f>VLOOKUP(A35,[2]METRICS!$AA$2:$AC$70,3,FALSE)</f>
        <v>30874.358947261331</v>
      </c>
      <c r="AG35">
        <v>0</v>
      </c>
      <c r="AH35">
        <f>VLOOKUP(A35,[2]METRICS!$AA$2:$AD$70,4,FALSE)</f>
        <v>0.23605999999999999</v>
      </c>
      <c r="AI35">
        <v>0</v>
      </c>
      <c r="AJ35">
        <v>71.092644000000007</v>
      </c>
      <c r="AK35">
        <v>10.473214</v>
      </c>
      <c r="AL35">
        <v>1.393192347501603</v>
      </c>
      <c r="AM35">
        <v>1.0231396070697303</v>
      </c>
      <c r="AN35">
        <v>0</v>
      </c>
      <c r="AO35">
        <v>1</v>
      </c>
      <c r="AQ35">
        <v>353.2</v>
      </c>
      <c r="AR35">
        <v>1.4</v>
      </c>
      <c r="AS35">
        <v>3</v>
      </c>
      <c r="AT35" t="s">
        <v>32</v>
      </c>
    </row>
    <row r="36" spans="1:46" x14ac:dyDescent="0.25">
      <c r="A36" t="s">
        <v>64</v>
      </c>
      <c r="B36">
        <v>95.0268986208999</v>
      </c>
      <c r="C36">
        <v>1.382978642633931E-2</v>
      </c>
      <c r="D36">
        <v>1.4115556317421136E-2</v>
      </c>
      <c r="E36">
        <v>1</v>
      </c>
      <c r="G36">
        <v>1.091547</v>
      </c>
      <c r="H36">
        <v>0</v>
      </c>
      <c r="I36">
        <v>63.015563999999998</v>
      </c>
      <c r="J36" t="s">
        <v>192</v>
      </c>
      <c r="K36" t="s">
        <v>192</v>
      </c>
      <c r="L36" t="s">
        <v>188</v>
      </c>
      <c r="M36" t="s">
        <v>188</v>
      </c>
      <c r="N36" t="str">
        <f t="shared" si="0"/>
        <v>Low</v>
      </c>
      <c r="O36" t="str">
        <f t="shared" si="1"/>
        <v>Low</v>
      </c>
      <c r="P36" t="str">
        <f t="shared" si="2"/>
        <v>High</v>
      </c>
      <c r="Q36" t="str">
        <f t="shared" si="3"/>
        <v>High</v>
      </c>
      <c r="R36" t="str">
        <f t="shared" si="4"/>
        <v>Low</v>
      </c>
      <c r="S36" t="str">
        <f t="shared" si="5"/>
        <v>High</v>
      </c>
      <c r="T36" t="str">
        <f>VLOOKUP(A36,[1]R2R_N_corridors_Final50!$A$2:$AM$57,39,FALSE)</f>
        <v>Utilize_Low</v>
      </c>
      <c r="U36" t="str">
        <f>VLOOKUP(A36,[1]R2R_N_corridors_Final50!$A$2:$AO$57,41,FALSE)</f>
        <v>Utilize_Low</v>
      </c>
      <c r="V36" t="str">
        <f>VLOOKUP(A36,[1]R2R_N_corridors_Final50!$A$2:$AN$57,40,FALSE)</f>
        <v>Utilize_Low</v>
      </c>
      <c r="W36" t="str">
        <f>VLOOKUP(A36,[1]R2R_N_corridors_Final50!$A$2:$AP$57,42,FALSE)</f>
        <v>Utilize_Low</v>
      </c>
      <c r="X36" t="str">
        <f t="shared" si="6"/>
        <v>Low</v>
      </c>
      <c r="Y36" t="str">
        <f t="shared" si="7"/>
        <v>Low</v>
      </c>
      <c r="Z36" t="str">
        <f t="shared" si="8"/>
        <v>Low</v>
      </c>
      <c r="AA36" t="str">
        <f t="shared" si="9"/>
        <v>Low</v>
      </c>
      <c r="AB36" t="str">
        <f t="shared" si="10"/>
        <v>Low</v>
      </c>
      <c r="AC36" t="str">
        <f t="shared" si="11"/>
        <v>Low</v>
      </c>
      <c r="AD36" t="str">
        <f>VLOOKUP(A36,MultimodalConnectivity_Corridor!$A$2:$K$57,11,FALSE)</f>
        <v>Low</v>
      </c>
      <c r="AE36">
        <f>VLOOKUP(A36,[2]METRICS!$AA$2:$AC$70,3,FALSE)</f>
        <v>378.04423712436511</v>
      </c>
      <c r="AG36">
        <v>0</v>
      </c>
      <c r="AH36">
        <f>VLOOKUP(A36,[2]METRICS!$AA$2:$AD$70,4,FALSE)</f>
        <v>0</v>
      </c>
      <c r="AI36">
        <v>0</v>
      </c>
      <c r="AJ36">
        <v>89.897842999999995</v>
      </c>
      <c r="AK36">
        <v>6.7734379999999996</v>
      </c>
      <c r="AL36">
        <v>1.0532507729757714</v>
      </c>
      <c r="AM36">
        <v>1.2552564719263255</v>
      </c>
      <c r="AN36">
        <v>0</v>
      </c>
      <c r="AO36">
        <v>1</v>
      </c>
      <c r="AQ36">
        <v>140.80000000000001</v>
      </c>
      <c r="AR36">
        <v>0.3</v>
      </c>
      <c r="AS36">
        <v>3</v>
      </c>
      <c r="AT36" t="s">
        <v>29</v>
      </c>
    </row>
    <row r="37" spans="1:46" x14ac:dyDescent="0.25">
      <c r="A37" t="s">
        <v>65</v>
      </c>
      <c r="B37">
        <v>44.3952689889</v>
      </c>
      <c r="C37">
        <v>7.2504625526155747E-2</v>
      </c>
      <c r="D37">
        <v>5.4362701393321861E-2</v>
      </c>
      <c r="E37">
        <v>1</v>
      </c>
      <c r="G37">
        <v>0</v>
      </c>
      <c r="H37">
        <v>0</v>
      </c>
      <c r="I37">
        <v>0</v>
      </c>
      <c r="J37" t="s">
        <v>187</v>
      </c>
      <c r="K37" t="s">
        <v>187</v>
      </c>
      <c r="L37" t="s">
        <v>187</v>
      </c>
      <c r="M37" t="s">
        <v>187</v>
      </c>
      <c r="N37" t="str">
        <f t="shared" si="0"/>
        <v>Low</v>
      </c>
      <c r="O37" t="str">
        <f t="shared" si="1"/>
        <v>Low</v>
      </c>
      <c r="P37" t="str">
        <f t="shared" si="2"/>
        <v>Low</v>
      </c>
      <c r="Q37" t="str">
        <f t="shared" si="3"/>
        <v>Low</v>
      </c>
      <c r="R37" t="str">
        <f t="shared" si="4"/>
        <v>Low</v>
      </c>
      <c r="S37" t="str">
        <f t="shared" si="5"/>
        <v>Low</v>
      </c>
      <c r="T37" t="str">
        <f>VLOOKUP(A37,[1]R2R_N_corridors_Final50!$A$2:$AM$57,39,FALSE)</f>
        <v>Utilize_Med</v>
      </c>
      <c r="U37" t="str">
        <f>VLOOKUP(A37,[1]R2R_N_corridors_Final50!$A$2:$AO$57,41,FALSE)</f>
        <v>Utilize_Med</v>
      </c>
      <c r="V37" t="str">
        <f>VLOOKUP(A37,[1]R2R_N_corridors_Final50!$A$2:$AN$57,40,FALSE)</f>
        <v>Utilize_Low</v>
      </c>
      <c r="W37" t="str">
        <f>VLOOKUP(A37,[1]R2R_N_corridors_Final50!$A$2:$AP$57,42,FALSE)</f>
        <v>Utilize_Low</v>
      </c>
      <c r="X37" t="str">
        <f t="shared" si="6"/>
        <v>Low</v>
      </c>
      <c r="Y37" t="str">
        <f t="shared" si="7"/>
        <v>Low</v>
      </c>
      <c r="Z37" t="str">
        <f t="shared" si="8"/>
        <v>Low</v>
      </c>
      <c r="AA37" t="str">
        <f t="shared" si="9"/>
        <v>Low</v>
      </c>
      <c r="AB37" t="str">
        <f t="shared" si="10"/>
        <v>Low</v>
      </c>
      <c r="AC37" t="str">
        <f t="shared" si="11"/>
        <v>Low</v>
      </c>
      <c r="AD37" t="str">
        <f>VLOOKUP(A37,MultimodalConnectivity_Corridor!$A$2:$K$57,11,FALSE)</f>
        <v>Low</v>
      </c>
      <c r="AE37">
        <f>VLOOKUP(A37,[2]METRICS!$AA$2:$AC$70,3,FALSE)</f>
        <v>2823.3029317782807</v>
      </c>
      <c r="AG37">
        <v>0</v>
      </c>
      <c r="AH37">
        <f>VLOOKUP(A37,[2]METRICS!$AA$2:$AD$70,4,FALSE)</f>
        <v>1.9461225615373265</v>
      </c>
      <c r="AI37">
        <v>0</v>
      </c>
      <c r="AJ37">
        <v>100</v>
      </c>
      <c r="AK37">
        <v>0.93333299999999997</v>
      </c>
      <c r="AL37">
        <v>1.1933359956730982</v>
      </c>
      <c r="AM37">
        <v>1.0449911635104352</v>
      </c>
      <c r="AN37">
        <v>0</v>
      </c>
      <c r="AO37">
        <v>1.0382261621652737</v>
      </c>
      <c r="AQ37">
        <v>298.85000000000002</v>
      </c>
      <c r="AR37">
        <v>1.7</v>
      </c>
      <c r="AS37">
        <v>5</v>
      </c>
      <c r="AT37" t="s">
        <v>30</v>
      </c>
    </row>
    <row r="38" spans="1:46" x14ac:dyDescent="0.25">
      <c r="A38" t="s">
        <v>66</v>
      </c>
      <c r="B38">
        <v>42.901241016900002</v>
      </c>
      <c r="C38">
        <v>9.0586684811045912E-2</v>
      </c>
      <c r="D38">
        <v>8.3658288412403803E-2</v>
      </c>
      <c r="E38">
        <v>1</v>
      </c>
      <c r="G38">
        <v>0</v>
      </c>
      <c r="H38">
        <v>0</v>
      </c>
      <c r="I38">
        <v>0</v>
      </c>
      <c r="J38" t="s">
        <v>192</v>
      </c>
      <c r="K38" t="s">
        <v>192</v>
      </c>
      <c r="L38" t="s">
        <v>191</v>
      </c>
      <c r="M38" t="s">
        <v>191</v>
      </c>
      <c r="N38" t="str">
        <f t="shared" si="0"/>
        <v>Low</v>
      </c>
      <c r="O38" t="str">
        <f t="shared" si="1"/>
        <v>Low</v>
      </c>
      <c r="P38" t="str">
        <f t="shared" si="2"/>
        <v>High</v>
      </c>
      <c r="Q38" t="str">
        <f t="shared" si="3"/>
        <v>High</v>
      </c>
      <c r="R38" t="str">
        <f t="shared" si="4"/>
        <v>Low</v>
      </c>
      <c r="S38" t="str">
        <f t="shared" si="5"/>
        <v>High</v>
      </c>
      <c r="T38" t="str">
        <f>VLOOKUP(A38,[1]R2R_N_corridors_Final50!$A$2:$AM$57,39,FALSE)</f>
        <v>Utilize_Low</v>
      </c>
      <c r="U38" t="str">
        <f>VLOOKUP(A38,[1]R2R_N_corridors_Final50!$A$2:$AO$57,41,FALSE)</f>
        <v>Utilize_Low</v>
      </c>
      <c r="V38" t="str">
        <f>VLOOKUP(A38,[1]R2R_N_corridors_Final50!$A$2:$AN$57,40,FALSE)</f>
        <v>Avoid_High</v>
      </c>
      <c r="W38" t="str">
        <f>VLOOKUP(A38,[1]R2R_N_corridors_Final50!$A$2:$AP$57,42,FALSE)</f>
        <v>Avoid_High</v>
      </c>
      <c r="X38" t="str">
        <f t="shared" si="6"/>
        <v>Low</v>
      </c>
      <c r="Y38" t="str">
        <f t="shared" si="7"/>
        <v>Low</v>
      </c>
      <c r="Z38" t="str">
        <f t="shared" si="8"/>
        <v>High</v>
      </c>
      <c r="AA38" t="str">
        <f t="shared" si="9"/>
        <v>High</v>
      </c>
      <c r="AB38" t="str">
        <f t="shared" si="10"/>
        <v>Low</v>
      </c>
      <c r="AC38" t="str">
        <f t="shared" si="11"/>
        <v>High</v>
      </c>
      <c r="AD38" t="str">
        <f>VLOOKUP(A38,MultimodalConnectivity_Corridor!$A$2:$K$57,11,FALSE)</f>
        <v>Med</v>
      </c>
      <c r="AE38">
        <f>VLOOKUP(A38,[2]METRICS!$AA$2:$AC$70,3,FALSE)</f>
        <v>2728.2907007551735</v>
      </c>
      <c r="AG38">
        <v>0</v>
      </c>
      <c r="AH38">
        <f>VLOOKUP(A38,[2]METRICS!$AA$2:$AD$70,4,FALSE)</f>
        <v>1.8806299626614413</v>
      </c>
      <c r="AI38">
        <v>0</v>
      </c>
      <c r="AJ38">
        <v>98.225987000000003</v>
      </c>
      <c r="AK38">
        <v>8.1545450000000006</v>
      </c>
      <c r="AL38">
        <v>1.0702961252305125</v>
      </c>
      <c r="AM38">
        <v>1.0037295847637819</v>
      </c>
      <c r="AN38">
        <v>0</v>
      </c>
      <c r="AO38">
        <v>1.0332942678149377</v>
      </c>
      <c r="AQ38">
        <v>346.55</v>
      </c>
      <c r="AR38">
        <v>0.8</v>
      </c>
      <c r="AS38">
        <v>5</v>
      </c>
      <c r="AT38" t="s">
        <v>32</v>
      </c>
    </row>
    <row r="39" spans="1:46" x14ac:dyDescent="0.25">
      <c r="A39" t="s">
        <v>67</v>
      </c>
      <c r="B39">
        <v>20.8341330292</v>
      </c>
      <c r="C39">
        <v>4.0238739287978394E-2</v>
      </c>
      <c r="D39">
        <v>3.1176738925594461E-2</v>
      </c>
      <c r="E39">
        <v>1</v>
      </c>
      <c r="G39">
        <v>1.9986539999999999</v>
      </c>
      <c r="H39">
        <v>5226.1057110000002</v>
      </c>
      <c r="I39">
        <v>462.17578900000001</v>
      </c>
      <c r="J39" t="s">
        <v>190</v>
      </c>
      <c r="K39" t="s">
        <v>190</v>
      </c>
      <c r="L39" t="s">
        <v>190</v>
      </c>
      <c r="M39" t="s">
        <v>190</v>
      </c>
      <c r="N39" t="str">
        <f t="shared" si="0"/>
        <v>High</v>
      </c>
      <c r="O39" t="str">
        <f t="shared" si="1"/>
        <v>High</v>
      </c>
      <c r="P39" t="str">
        <f t="shared" si="2"/>
        <v>High</v>
      </c>
      <c r="Q39" t="str">
        <f t="shared" si="3"/>
        <v>High</v>
      </c>
      <c r="R39" t="str">
        <f t="shared" si="4"/>
        <v>High</v>
      </c>
      <c r="S39" t="str">
        <f t="shared" si="5"/>
        <v>High</v>
      </c>
      <c r="T39" t="str">
        <f>VLOOKUP(A39,[1]R2R_N_corridors_Final50!$A$2:$AM$57,39,FALSE)</f>
        <v>Utilize_Low</v>
      </c>
      <c r="U39" t="str">
        <f>VLOOKUP(A39,[1]R2R_N_corridors_Final50!$A$2:$AO$57,41,FALSE)</f>
        <v>Utilize_Low</v>
      </c>
      <c r="V39" t="str">
        <f>VLOOKUP(A39,[1]R2R_N_corridors_Final50!$A$2:$AN$57,40,FALSE)</f>
        <v>Avoid_Med</v>
      </c>
      <c r="W39" t="str">
        <f>VLOOKUP(A39,[1]R2R_N_corridors_Final50!$A$2:$AP$57,42,FALSE)</f>
        <v>Avoid_Med</v>
      </c>
      <c r="X39" t="str">
        <f t="shared" si="6"/>
        <v>Low</v>
      </c>
      <c r="Y39" t="str">
        <f t="shared" si="7"/>
        <v>Low</v>
      </c>
      <c r="Z39" t="str">
        <f t="shared" si="8"/>
        <v>High</v>
      </c>
      <c r="AA39" t="str">
        <f t="shared" si="9"/>
        <v>High</v>
      </c>
      <c r="AB39" t="str">
        <f t="shared" si="10"/>
        <v>Low</v>
      </c>
      <c r="AC39" t="str">
        <f t="shared" si="11"/>
        <v>High</v>
      </c>
      <c r="AD39" t="str">
        <f>VLOOKUP(A39,MultimodalConnectivity_Corridor!$A$2:$K$57,11,FALSE)</f>
        <v>Med</v>
      </c>
      <c r="AE39">
        <f>VLOOKUP(A39,[2]METRICS!$AA$2:$AC$70,3,FALSE)</f>
        <v>1324.9400263146488</v>
      </c>
      <c r="AG39">
        <v>1</v>
      </c>
      <c r="AH39">
        <f>VLOOKUP(A39,[2]METRICS!$AA$2:$AD$70,4,FALSE)</f>
        <v>0.91329047580123113</v>
      </c>
      <c r="AI39">
        <v>0</v>
      </c>
      <c r="AJ39">
        <v>92.662163000000007</v>
      </c>
      <c r="AK39">
        <v>8.3333329999999997</v>
      </c>
      <c r="AL39">
        <v>1</v>
      </c>
      <c r="AM39">
        <v>1.0865613016541522</v>
      </c>
      <c r="AN39">
        <v>0</v>
      </c>
      <c r="AO39">
        <v>1</v>
      </c>
      <c r="AQ39">
        <v>255.6</v>
      </c>
      <c r="AR39">
        <v>2.6</v>
      </c>
      <c r="AS39">
        <v>5</v>
      </c>
      <c r="AT39" t="s">
        <v>29</v>
      </c>
    </row>
    <row r="40" spans="1:46" x14ac:dyDescent="0.25">
      <c r="A40" t="s">
        <v>68</v>
      </c>
      <c r="B40">
        <v>12.0349357255</v>
      </c>
      <c r="C40">
        <v>0</v>
      </c>
      <c r="D40">
        <v>0</v>
      </c>
      <c r="E40">
        <v>1</v>
      </c>
      <c r="G40">
        <v>1.3808940000000001</v>
      </c>
      <c r="H40">
        <v>585.27425600000004</v>
      </c>
      <c r="I40">
        <v>402.62665399999997</v>
      </c>
      <c r="J40" t="s">
        <v>187</v>
      </c>
      <c r="K40" t="s">
        <v>187</v>
      </c>
      <c r="L40" t="s">
        <v>186</v>
      </c>
      <c r="M40" t="s">
        <v>186</v>
      </c>
      <c r="N40" t="str">
        <f t="shared" si="0"/>
        <v>Low</v>
      </c>
      <c r="O40" t="str">
        <f t="shared" si="1"/>
        <v>Low</v>
      </c>
      <c r="P40" t="str">
        <f t="shared" si="2"/>
        <v>Low</v>
      </c>
      <c r="Q40" t="str">
        <f t="shared" si="3"/>
        <v>Low</v>
      </c>
      <c r="R40" t="str">
        <f t="shared" si="4"/>
        <v>Low</v>
      </c>
      <c r="S40" t="str">
        <f t="shared" si="5"/>
        <v>Low</v>
      </c>
      <c r="T40" t="str">
        <f>VLOOKUP(A40,[1]R2R_N_corridors_Final50!$A$2:$AM$57,39,FALSE)</f>
        <v>Utilize_Med</v>
      </c>
      <c r="U40" t="str">
        <f>VLOOKUP(A40,[1]R2R_N_corridors_Final50!$A$2:$AO$57,41,FALSE)</f>
        <v>Utilize_Med</v>
      </c>
      <c r="V40" t="str">
        <f>VLOOKUP(A40,[1]R2R_N_corridors_Final50!$A$2:$AN$57,40,FALSE)</f>
        <v>Utilize_High</v>
      </c>
      <c r="W40" t="str">
        <f>VLOOKUP(A40,[1]R2R_N_corridors_Final50!$A$2:$AP$57,42,FALSE)</f>
        <v>Utilize_High</v>
      </c>
      <c r="X40" t="str">
        <f t="shared" si="6"/>
        <v>Low</v>
      </c>
      <c r="Y40" t="str">
        <f t="shared" si="7"/>
        <v>Low</v>
      </c>
      <c r="Z40" t="str">
        <f t="shared" si="8"/>
        <v>Low</v>
      </c>
      <c r="AA40" t="str">
        <f t="shared" si="9"/>
        <v>Low</v>
      </c>
      <c r="AB40" t="str">
        <f t="shared" si="10"/>
        <v>Low</v>
      </c>
      <c r="AC40" t="str">
        <f t="shared" si="11"/>
        <v>Low</v>
      </c>
      <c r="AD40" t="str">
        <f>VLOOKUP(A40,MultimodalConnectivity_Corridor!$A$2:$K$57,11,FALSE)</f>
        <v>Med</v>
      </c>
      <c r="AE40">
        <f>VLOOKUP(A40,[2]METRICS!$AA$2:$AC$70,3,FALSE)</f>
        <v>4372.5052152945163</v>
      </c>
      <c r="AG40">
        <v>1</v>
      </c>
      <c r="AH40">
        <f>VLOOKUP(A40,[2]METRICS!$AA$2:$AD$70,4,FALSE)</f>
        <v>0</v>
      </c>
      <c r="AI40">
        <v>0</v>
      </c>
      <c r="AJ40">
        <v>87.621793999999994</v>
      </c>
      <c r="AK40">
        <v>14</v>
      </c>
      <c r="AL40">
        <v>1</v>
      </c>
      <c r="AM40">
        <v>1.7319725380026048</v>
      </c>
      <c r="AN40">
        <v>0</v>
      </c>
      <c r="AO40">
        <v>1</v>
      </c>
      <c r="AQ40">
        <v>175.35</v>
      </c>
      <c r="AR40">
        <v>1.3</v>
      </c>
      <c r="AS40">
        <v>1</v>
      </c>
      <c r="AT40" t="s">
        <v>29</v>
      </c>
    </row>
    <row r="41" spans="1:46" s="2" customFormat="1" x14ac:dyDescent="0.25">
      <c r="A41" s="2" t="s">
        <v>69</v>
      </c>
      <c r="B41" s="2">
        <v>16.0307517201</v>
      </c>
      <c r="C41">
        <v>0</v>
      </c>
      <c r="D41">
        <v>0</v>
      </c>
      <c r="E41" s="2">
        <v>1</v>
      </c>
      <c r="G41" s="2">
        <v>0</v>
      </c>
      <c r="H41" s="2">
        <v>0</v>
      </c>
      <c r="I41" s="2">
        <v>0</v>
      </c>
      <c r="J41" t="s">
        <v>189</v>
      </c>
      <c r="K41" t="s">
        <v>189</v>
      </c>
      <c r="L41" t="s">
        <v>189</v>
      </c>
      <c r="M41" t="s">
        <v>189</v>
      </c>
      <c r="N41" t="str">
        <f t="shared" si="0"/>
        <v>Med</v>
      </c>
      <c r="O41" t="str">
        <f t="shared" si="1"/>
        <v>Med</v>
      </c>
      <c r="P41" t="str">
        <f t="shared" si="2"/>
        <v>Med</v>
      </c>
      <c r="Q41" t="str">
        <f t="shared" si="3"/>
        <v>Med</v>
      </c>
      <c r="R41" t="str">
        <f t="shared" si="4"/>
        <v>Med</v>
      </c>
      <c r="S41" t="str">
        <f t="shared" si="5"/>
        <v>Med</v>
      </c>
      <c r="T41" t="str">
        <f>VLOOKUP(A41,[1]R2R_N_corridors_Final50!$A$2:$AM$57,39,FALSE)</f>
        <v>Utilize_Med</v>
      </c>
      <c r="U41" t="str">
        <f>VLOOKUP(A41,[1]R2R_N_corridors_Final50!$A$2:$AO$57,41,FALSE)</f>
        <v>Utilize_Med</v>
      </c>
      <c r="V41" t="str">
        <f>VLOOKUP(A41,[1]R2R_N_corridors_Final50!$A$2:$AN$57,40,FALSE)</f>
        <v>Utilize_High</v>
      </c>
      <c r="W41" t="str">
        <f>VLOOKUP(A41,[1]R2R_N_corridors_Final50!$A$2:$AP$57,42,FALSE)</f>
        <v>Utilize_High</v>
      </c>
      <c r="X41" t="str">
        <f t="shared" si="6"/>
        <v>Low</v>
      </c>
      <c r="Y41" t="str">
        <f t="shared" si="7"/>
        <v>Low</v>
      </c>
      <c r="Z41" t="str">
        <f t="shared" si="8"/>
        <v>Low</v>
      </c>
      <c r="AA41" t="str">
        <f t="shared" si="9"/>
        <v>Low</v>
      </c>
      <c r="AB41" t="str">
        <f t="shared" si="10"/>
        <v>Low</v>
      </c>
      <c r="AC41" t="str">
        <f t="shared" si="11"/>
        <v>Low</v>
      </c>
      <c r="AD41" t="str">
        <f>VLOOKUP(A41,MultimodalConnectivity_Corridor!$A$2:$K$57,11,FALSE)</f>
        <v>Low</v>
      </c>
      <c r="AE41" s="2">
        <f>VLOOKUP(A41,[2]METRICS!$AA$2:$AC$70,3,FALSE)</f>
        <v>15277.42687762626</v>
      </c>
      <c r="AG41" s="2">
        <v>0</v>
      </c>
      <c r="AH41" s="2">
        <f>VLOOKUP(A41,[2]METRICS!$AA$2:$AD$70,4,FALSE)</f>
        <v>0</v>
      </c>
      <c r="AI41" s="2">
        <v>0</v>
      </c>
      <c r="AJ41" s="2">
        <v>0</v>
      </c>
      <c r="AK41" s="2">
        <v>0</v>
      </c>
      <c r="AL41" s="2">
        <v>1</v>
      </c>
      <c r="AM41" s="2">
        <v>1</v>
      </c>
      <c r="AN41" s="2">
        <v>0</v>
      </c>
      <c r="AO41" s="2">
        <v>1</v>
      </c>
      <c r="AQ41" s="2">
        <v>312.7</v>
      </c>
      <c r="AR41" s="2">
        <v>2.5</v>
      </c>
      <c r="AS41" s="2">
        <v>0</v>
      </c>
      <c r="AT41" s="2" t="s">
        <v>29</v>
      </c>
    </row>
    <row r="42" spans="1:46" x14ac:dyDescent="0.25">
      <c r="A42" t="s">
        <v>70</v>
      </c>
      <c r="B42">
        <v>6.5691873898299997</v>
      </c>
      <c r="C42">
        <v>0</v>
      </c>
      <c r="D42">
        <v>0</v>
      </c>
      <c r="E42">
        <v>1</v>
      </c>
      <c r="G42">
        <v>0</v>
      </c>
      <c r="H42">
        <v>0</v>
      </c>
      <c r="I42">
        <v>0</v>
      </c>
      <c r="J42" t="s">
        <v>189</v>
      </c>
      <c r="K42" t="s">
        <v>189</v>
      </c>
      <c r="L42" t="s">
        <v>189</v>
      </c>
      <c r="M42" t="s">
        <v>189</v>
      </c>
      <c r="N42" t="str">
        <f t="shared" si="0"/>
        <v>Med</v>
      </c>
      <c r="O42" t="str">
        <f t="shared" si="1"/>
        <v>Med</v>
      </c>
      <c r="P42" t="str">
        <f t="shared" si="2"/>
        <v>Med</v>
      </c>
      <c r="Q42" t="str">
        <f t="shared" si="3"/>
        <v>Med</v>
      </c>
      <c r="R42" t="str">
        <f t="shared" si="4"/>
        <v>Med</v>
      </c>
      <c r="S42" t="str">
        <f t="shared" si="5"/>
        <v>Med</v>
      </c>
      <c r="T42" t="str">
        <f>VLOOKUP(A42,[1]R2R_N_corridors_Final50!$A$2:$AM$57,39,FALSE)</f>
        <v>Utilize_Med</v>
      </c>
      <c r="U42" t="str">
        <f>VLOOKUP(A42,[1]R2R_N_corridors_Final50!$A$2:$AO$57,41,FALSE)</f>
        <v>Utilize_Med</v>
      </c>
      <c r="V42" t="str">
        <f>VLOOKUP(A42,[1]R2R_N_corridors_Final50!$A$2:$AN$57,40,FALSE)</f>
        <v>Utilize_High</v>
      </c>
      <c r="W42" t="str">
        <f>VLOOKUP(A42,[1]R2R_N_corridors_Final50!$A$2:$AP$57,42,FALSE)</f>
        <v>Utilize_High</v>
      </c>
      <c r="X42" t="str">
        <f t="shared" si="6"/>
        <v>Low</v>
      </c>
      <c r="Y42" t="str">
        <f t="shared" si="7"/>
        <v>Low</v>
      </c>
      <c r="Z42" t="str">
        <f t="shared" si="8"/>
        <v>Low</v>
      </c>
      <c r="AA42" t="str">
        <f t="shared" si="9"/>
        <v>Low</v>
      </c>
      <c r="AB42" t="str">
        <f t="shared" si="10"/>
        <v>Low</v>
      </c>
      <c r="AC42" t="str">
        <f t="shared" si="11"/>
        <v>Low</v>
      </c>
      <c r="AD42" t="str">
        <f>VLOOKUP(A42,MultimodalConnectivity_Corridor!$A$2:$K$57,11,FALSE)</f>
        <v>High</v>
      </c>
      <c r="AE42">
        <f>VLOOKUP(A42,[2]METRICS!$AA$2:$AC$70,3,FALSE)</f>
        <v>112407.36715083089</v>
      </c>
      <c r="AG42">
        <v>0</v>
      </c>
      <c r="AH42">
        <f>VLOOKUP(A42,[2]METRICS!$AA$2:$AD$70,4,FALSE)</f>
        <v>0</v>
      </c>
      <c r="AI42">
        <v>1</v>
      </c>
      <c r="AJ42">
        <v>0</v>
      </c>
      <c r="AK42">
        <v>0</v>
      </c>
      <c r="AL42">
        <v>2</v>
      </c>
      <c r="AM42">
        <v>1</v>
      </c>
      <c r="AN42">
        <v>0</v>
      </c>
      <c r="AO42">
        <v>1</v>
      </c>
      <c r="AQ42">
        <v>118.3</v>
      </c>
      <c r="AR42">
        <v>3.2</v>
      </c>
      <c r="AS42">
        <v>0</v>
      </c>
      <c r="AT42" t="s">
        <v>29</v>
      </c>
    </row>
    <row r="43" spans="1:46" x14ac:dyDescent="0.25">
      <c r="A43" t="s">
        <v>71</v>
      </c>
      <c r="B43">
        <v>21.489188390100001</v>
      </c>
      <c r="C43">
        <v>0</v>
      </c>
      <c r="D43">
        <v>0</v>
      </c>
      <c r="E43">
        <v>1</v>
      </c>
      <c r="G43">
        <v>1.8408370000000001</v>
      </c>
      <c r="H43">
        <v>2087.6271310000002</v>
      </c>
      <c r="I43">
        <v>925.32203300000003</v>
      </c>
      <c r="J43" t="s">
        <v>186</v>
      </c>
      <c r="K43" t="s">
        <v>186</v>
      </c>
      <c r="L43" t="s">
        <v>192</v>
      </c>
      <c r="M43" t="s">
        <v>192</v>
      </c>
      <c r="N43" t="str">
        <f t="shared" si="0"/>
        <v>Low</v>
      </c>
      <c r="O43" t="str">
        <f t="shared" si="1"/>
        <v>Low</v>
      </c>
      <c r="P43" t="str">
        <f t="shared" si="2"/>
        <v>Low</v>
      </c>
      <c r="Q43" t="str">
        <f t="shared" si="3"/>
        <v>Low</v>
      </c>
      <c r="R43" t="str">
        <f t="shared" si="4"/>
        <v>Low</v>
      </c>
      <c r="S43" t="str">
        <f t="shared" si="5"/>
        <v>Low</v>
      </c>
      <c r="T43" t="str">
        <f>VLOOKUP(A43,[1]R2R_N_corridors_Final50!$A$2:$AM$57,39,FALSE)</f>
        <v>Utilize_Med</v>
      </c>
      <c r="U43" t="str">
        <f>VLOOKUP(A43,[1]R2R_N_corridors_Final50!$A$2:$AO$57,41,FALSE)</f>
        <v>Utilize_Med</v>
      </c>
      <c r="V43" t="str">
        <f>VLOOKUP(A43,[1]R2R_N_corridors_Final50!$A$2:$AN$57,40,FALSE)</f>
        <v>Utilize_High</v>
      </c>
      <c r="W43" t="str">
        <f>VLOOKUP(A43,[1]R2R_N_corridors_Final50!$A$2:$AP$57,42,FALSE)</f>
        <v>Utilize_High</v>
      </c>
      <c r="X43" t="str">
        <f t="shared" si="6"/>
        <v>Low</v>
      </c>
      <c r="Y43" t="str">
        <f t="shared" si="7"/>
        <v>Low</v>
      </c>
      <c r="Z43" t="str">
        <f t="shared" si="8"/>
        <v>Low</v>
      </c>
      <c r="AA43" t="str">
        <f t="shared" si="9"/>
        <v>Low</v>
      </c>
      <c r="AB43" t="str">
        <f t="shared" si="10"/>
        <v>Low</v>
      </c>
      <c r="AC43" t="str">
        <f t="shared" si="11"/>
        <v>Low</v>
      </c>
      <c r="AD43" t="str">
        <f>VLOOKUP(A43,MultimodalConnectivity_Corridor!$A$2:$K$57,11,FALSE)</f>
        <v>Med</v>
      </c>
      <c r="AE43">
        <f>VLOOKUP(A43,[2]METRICS!$AA$2:$AC$70,3,FALSE)</f>
        <v>548969.29255157174</v>
      </c>
      <c r="AG43">
        <v>1</v>
      </c>
      <c r="AH43">
        <f>VLOOKUP(A43,[2]METRICS!$AA$2:$AD$70,4,FALSE)</f>
        <v>0</v>
      </c>
      <c r="AI43">
        <v>1</v>
      </c>
      <c r="AJ43">
        <v>93.391554999999997</v>
      </c>
      <c r="AK43">
        <v>8.3636359999999996</v>
      </c>
      <c r="AL43">
        <v>0.6648563747421119</v>
      </c>
      <c r="AM43">
        <v>1.0342039749739365</v>
      </c>
      <c r="AN43">
        <v>0</v>
      </c>
      <c r="AO43">
        <v>1</v>
      </c>
      <c r="AQ43">
        <v>118.1</v>
      </c>
      <c r="AR43">
        <v>3.1</v>
      </c>
      <c r="AS43">
        <v>0</v>
      </c>
      <c r="AT43" t="s">
        <v>29</v>
      </c>
    </row>
    <row r="44" spans="1:46" x14ac:dyDescent="0.25">
      <c r="A44" t="s">
        <v>72</v>
      </c>
      <c r="B44">
        <v>97.960131788799899</v>
      </c>
      <c r="C44">
        <v>7.9282199653758559E-2</v>
      </c>
      <c r="D44">
        <v>8.6401855669597238E-2</v>
      </c>
      <c r="E44">
        <v>1</v>
      </c>
      <c r="G44">
        <v>2.0408149999999998</v>
      </c>
      <c r="H44">
        <v>59963.848104999997</v>
      </c>
      <c r="I44">
        <v>1228.7386919999999</v>
      </c>
      <c r="J44" t="s">
        <v>186</v>
      </c>
      <c r="K44" t="s">
        <v>186</v>
      </c>
      <c r="L44" t="s">
        <v>190</v>
      </c>
      <c r="M44" t="s">
        <v>190</v>
      </c>
      <c r="N44" t="str">
        <f t="shared" si="0"/>
        <v>Low</v>
      </c>
      <c r="O44" t="str">
        <f t="shared" si="1"/>
        <v>Low</v>
      </c>
      <c r="P44" t="str">
        <f t="shared" si="2"/>
        <v>High</v>
      </c>
      <c r="Q44" t="str">
        <f t="shared" si="3"/>
        <v>High</v>
      </c>
      <c r="R44" t="str">
        <f t="shared" si="4"/>
        <v>Low</v>
      </c>
      <c r="S44" t="str">
        <f t="shared" si="5"/>
        <v>High</v>
      </c>
      <c r="T44" t="str">
        <f>VLOOKUP(A44,[1]R2R_N_corridors_Final50!$A$2:$AM$57,39,FALSE)</f>
        <v>Utilize_Med</v>
      </c>
      <c r="U44" t="str">
        <f>VLOOKUP(A44,[1]R2R_N_corridors_Final50!$A$2:$AO$57,41,FALSE)</f>
        <v>Utilize_Med</v>
      </c>
      <c r="V44" t="str">
        <f>VLOOKUP(A44,[1]R2R_N_corridors_Final50!$A$2:$AN$57,40,FALSE)</f>
        <v>Avoid_Med</v>
      </c>
      <c r="W44" t="str">
        <f>VLOOKUP(A44,[1]R2R_N_corridors_Final50!$A$2:$AP$57,42,FALSE)</f>
        <v>Avoid_Med</v>
      </c>
      <c r="X44" t="str">
        <f t="shared" si="6"/>
        <v>Low</v>
      </c>
      <c r="Y44" t="str">
        <f t="shared" si="7"/>
        <v>Low</v>
      </c>
      <c r="Z44" t="str">
        <f t="shared" si="8"/>
        <v>High</v>
      </c>
      <c r="AA44" t="str">
        <f t="shared" si="9"/>
        <v>High</v>
      </c>
      <c r="AB44" t="str">
        <f t="shared" si="10"/>
        <v>Low</v>
      </c>
      <c r="AC44" t="str">
        <f t="shared" si="11"/>
        <v>High</v>
      </c>
      <c r="AD44" t="str">
        <f>VLOOKUP(A44,MultimodalConnectivity_Corridor!$A$2:$K$57,11,FALSE)</f>
        <v>Med</v>
      </c>
      <c r="AE44">
        <f>VLOOKUP(A44,[2]METRICS!$AA$2:$AC$70,3,FALSE)</f>
        <v>116692.90850510291</v>
      </c>
      <c r="AG44">
        <v>1</v>
      </c>
      <c r="AH44">
        <f>VLOOKUP(A44,[2]METRICS!$AA$2:$AD$70,4,FALSE)</f>
        <v>0.88504700000000003</v>
      </c>
      <c r="AI44">
        <v>0</v>
      </c>
      <c r="AJ44">
        <v>69.807083000000006</v>
      </c>
      <c r="AK44">
        <v>8.3115380000000005</v>
      </c>
      <c r="AL44">
        <v>1.2745206364959529</v>
      </c>
      <c r="AM44">
        <v>1.0440807768961031</v>
      </c>
      <c r="AN44">
        <v>1</v>
      </c>
      <c r="AO44">
        <v>1</v>
      </c>
      <c r="AQ44">
        <v>487.85</v>
      </c>
      <c r="AR44">
        <v>5.2</v>
      </c>
      <c r="AS44">
        <v>8</v>
      </c>
      <c r="AT44" t="s">
        <v>29</v>
      </c>
    </row>
    <row r="45" spans="1:46" x14ac:dyDescent="0.25">
      <c r="A45" t="s">
        <v>73</v>
      </c>
      <c r="B45">
        <v>107.274382185999</v>
      </c>
      <c r="C45">
        <v>0.11250327690766002</v>
      </c>
      <c r="D45">
        <v>0.1362404554643302</v>
      </c>
      <c r="E45">
        <v>1</v>
      </c>
      <c r="G45">
        <v>1.2594050000000001</v>
      </c>
      <c r="H45">
        <v>573.70345899999995</v>
      </c>
      <c r="I45">
        <v>271.25698999999997</v>
      </c>
      <c r="J45" t="s">
        <v>190</v>
      </c>
      <c r="K45" t="s">
        <v>190</v>
      </c>
      <c r="L45" t="s">
        <v>186</v>
      </c>
      <c r="M45" t="s">
        <v>186</v>
      </c>
      <c r="N45" t="str">
        <f t="shared" si="0"/>
        <v>High</v>
      </c>
      <c r="O45" t="str">
        <f t="shared" si="1"/>
        <v>High</v>
      </c>
      <c r="P45" t="str">
        <f t="shared" si="2"/>
        <v>Low</v>
      </c>
      <c r="Q45" t="str">
        <f t="shared" si="3"/>
        <v>Low</v>
      </c>
      <c r="R45" t="str">
        <f t="shared" si="4"/>
        <v>High</v>
      </c>
      <c r="S45" t="str">
        <f t="shared" si="5"/>
        <v>Low</v>
      </c>
      <c r="T45" t="str">
        <f>VLOOKUP(A45,[1]R2R_N_corridors_Final50!$A$2:$AM$57,39,FALSE)</f>
        <v>Utilize_Med</v>
      </c>
      <c r="U45" t="str">
        <f>VLOOKUP(A45,[1]R2R_N_corridors_Final50!$A$2:$AO$57,41,FALSE)</f>
        <v>Utilize_Med</v>
      </c>
      <c r="V45" t="str">
        <f>VLOOKUP(A45,[1]R2R_N_corridors_Final50!$A$2:$AN$57,40,FALSE)</f>
        <v>Utilize_High</v>
      </c>
      <c r="W45" t="str">
        <f>VLOOKUP(A45,[1]R2R_N_corridors_Final50!$A$2:$AP$57,42,FALSE)</f>
        <v>Utilize_High</v>
      </c>
      <c r="X45" t="str">
        <f t="shared" si="6"/>
        <v>Low</v>
      </c>
      <c r="Y45" t="str">
        <f t="shared" si="7"/>
        <v>Low</v>
      </c>
      <c r="Z45" t="str">
        <f t="shared" si="8"/>
        <v>Low</v>
      </c>
      <c r="AA45" t="str">
        <f t="shared" si="9"/>
        <v>Low</v>
      </c>
      <c r="AB45" t="str">
        <f t="shared" si="10"/>
        <v>Low</v>
      </c>
      <c r="AC45" t="str">
        <f t="shared" si="11"/>
        <v>Low</v>
      </c>
      <c r="AD45" t="str">
        <f>VLOOKUP(A45,MultimodalConnectivity_Corridor!$A$2:$K$57,11,FALSE)</f>
        <v>Med</v>
      </c>
      <c r="AE45">
        <f>VLOOKUP(A45,[2]METRICS!$AA$2:$AC$70,3,FALSE)</f>
        <v>8607.5213936589462</v>
      </c>
      <c r="AG45">
        <v>1</v>
      </c>
      <c r="AH45">
        <f>VLOOKUP(A45,[2]METRICS!$AA$2:$AD$70,4,FALSE)</f>
        <v>0.23055400000000001</v>
      </c>
      <c r="AI45">
        <v>1</v>
      </c>
      <c r="AJ45">
        <v>67.213716000000005</v>
      </c>
      <c r="AK45">
        <v>9.4664029999999997</v>
      </c>
      <c r="AL45">
        <v>1.2731606505448048</v>
      </c>
      <c r="AM45">
        <v>1.018007352134833</v>
      </c>
      <c r="AN45">
        <v>0</v>
      </c>
      <c r="AO45">
        <v>1.0023072296952673</v>
      </c>
      <c r="AQ45">
        <v>448.5</v>
      </c>
      <c r="AR45">
        <v>7.2</v>
      </c>
      <c r="AS45">
        <v>6</v>
      </c>
      <c r="AT45" t="s">
        <v>30</v>
      </c>
    </row>
    <row r="46" spans="1:46" x14ac:dyDescent="0.25">
      <c r="A46" t="s">
        <v>74</v>
      </c>
      <c r="B46">
        <v>114.62000684900001</v>
      </c>
      <c r="C46">
        <v>4.0633745499463844E-2</v>
      </c>
      <c r="D46">
        <v>8.4689335309889979E-2</v>
      </c>
      <c r="E46">
        <v>1.0559884367263344</v>
      </c>
      <c r="G46">
        <v>1.620733</v>
      </c>
      <c r="H46">
        <v>3069.5858320000002</v>
      </c>
      <c r="I46">
        <v>355.23750799999999</v>
      </c>
      <c r="J46" t="s">
        <v>187</v>
      </c>
      <c r="K46" t="s">
        <v>187</v>
      </c>
      <c r="L46" t="s">
        <v>190</v>
      </c>
      <c r="M46" t="s">
        <v>190</v>
      </c>
      <c r="N46" t="str">
        <f t="shared" si="0"/>
        <v>Low</v>
      </c>
      <c r="O46" t="str">
        <f t="shared" si="1"/>
        <v>Low</v>
      </c>
      <c r="P46" t="str">
        <f t="shared" si="2"/>
        <v>High</v>
      </c>
      <c r="Q46" t="str">
        <f t="shared" si="3"/>
        <v>High</v>
      </c>
      <c r="R46" t="str">
        <f t="shared" si="4"/>
        <v>Low</v>
      </c>
      <c r="S46" t="str">
        <f t="shared" si="5"/>
        <v>High</v>
      </c>
      <c r="T46" t="str">
        <f>VLOOKUP(A46,[1]R2R_N_corridors_Final50!$A$2:$AM$57,39,FALSE)</f>
        <v>Utilize_Med</v>
      </c>
      <c r="U46" t="str">
        <f>VLOOKUP(A46,[1]R2R_N_corridors_Final50!$A$2:$AO$57,41,FALSE)</f>
        <v>Utilize_Med</v>
      </c>
      <c r="V46" t="str">
        <f>VLOOKUP(A46,[1]R2R_N_corridors_Final50!$A$2:$AN$57,40,FALSE)</f>
        <v>Avoid_Med</v>
      </c>
      <c r="W46" t="str">
        <f>VLOOKUP(A46,[1]R2R_N_corridors_Final50!$A$2:$AP$57,42,FALSE)</f>
        <v>Avoid_Med</v>
      </c>
      <c r="X46" t="str">
        <f t="shared" si="6"/>
        <v>Low</v>
      </c>
      <c r="Y46" t="str">
        <f t="shared" si="7"/>
        <v>Low</v>
      </c>
      <c r="Z46" t="str">
        <f t="shared" si="8"/>
        <v>High</v>
      </c>
      <c r="AA46" t="str">
        <f t="shared" si="9"/>
        <v>High</v>
      </c>
      <c r="AB46" t="str">
        <f t="shared" si="10"/>
        <v>Low</v>
      </c>
      <c r="AC46" t="str">
        <f t="shared" si="11"/>
        <v>High</v>
      </c>
      <c r="AD46" t="str">
        <f>VLOOKUP(A46,MultimodalConnectivity_Corridor!$A$2:$K$57,11,FALSE)</f>
        <v>High</v>
      </c>
      <c r="AE46">
        <f>VLOOKUP(A46,[2]METRICS!$AA$2:$AC$70,3,FALSE)</f>
        <v>2436891.300013497</v>
      </c>
      <c r="AG46">
        <v>0</v>
      </c>
      <c r="AH46">
        <f>VLOOKUP(A46,[2]METRICS!$AA$2:$AD$70,4,FALSE)</f>
        <v>4.6974629999999999</v>
      </c>
      <c r="AI46">
        <v>1</v>
      </c>
      <c r="AJ46">
        <v>56.642718000000002</v>
      </c>
      <c r="AK46">
        <v>11.385057</v>
      </c>
      <c r="AL46">
        <v>1.5564283259837028</v>
      </c>
      <c r="AM46">
        <v>1.0262012229727373</v>
      </c>
      <c r="AN46">
        <v>0</v>
      </c>
      <c r="AO46">
        <v>1.0263187521935233</v>
      </c>
      <c r="AQ46">
        <v>276.14999999999998</v>
      </c>
      <c r="AR46">
        <v>16.3</v>
      </c>
      <c r="AS46">
        <v>8</v>
      </c>
      <c r="AT46" t="s">
        <v>32</v>
      </c>
    </row>
    <row r="47" spans="1:46" x14ac:dyDescent="0.25">
      <c r="A47" t="s">
        <v>75</v>
      </c>
      <c r="B47">
        <v>34.463288233299899</v>
      </c>
      <c r="C47">
        <v>6.3716346805371096E-2</v>
      </c>
      <c r="D47">
        <v>6.5010448782933494E-2</v>
      </c>
      <c r="E47">
        <v>1</v>
      </c>
      <c r="G47">
        <v>2.9408590000000001</v>
      </c>
      <c r="H47">
        <v>397.42720000000003</v>
      </c>
      <c r="I47">
        <v>100.150047</v>
      </c>
      <c r="J47" t="s">
        <v>190</v>
      </c>
      <c r="K47" t="s">
        <v>190</v>
      </c>
      <c r="L47" t="s">
        <v>188</v>
      </c>
      <c r="M47" t="s">
        <v>188</v>
      </c>
      <c r="N47" t="str">
        <f t="shared" si="0"/>
        <v>High</v>
      </c>
      <c r="O47" t="str">
        <f t="shared" si="1"/>
        <v>High</v>
      </c>
      <c r="P47" t="str">
        <f t="shared" si="2"/>
        <v>High</v>
      </c>
      <c r="Q47" t="str">
        <f t="shared" si="3"/>
        <v>High</v>
      </c>
      <c r="R47" t="str">
        <f t="shared" si="4"/>
        <v>High</v>
      </c>
      <c r="S47" t="str">
        <f t="shared" si="5"/>
        <v>High</v>
      </c>
      <c r="T47" t="str">
        <f>VLOOKUP(A47,[1]R2R_N_corridors_Final50!$A$2:$AM$57,39,FALSE)</f>
        <v>Utilize_Low</v>
      </c>
      <c r="U47" t="str">
        <f>VLOOKUP(A47,[1]R2R_N_corridors_Final50!$A$2:$AO$57,41,FALSE)</f>
        <v>Utilize_Low</v>
      </c>
      <c r="V47" t="str">
        <f>VLOOKUP(A47,[1]R2R_N_corridors_Final50!$A$2:$AN$57,40,FALSE)</f>
        <v>Utilize_Low</v>
      </c>
      <c r="W47" t="str">
        <f>VLOOKUP(A47,[1]R2R_N_corridors_Final50!$A$2:$AP$57,42,FALSE)</f>
        <v>Utilize_Low</v>
      </c>
      <c r="X47" t="str">
        <f t="shared" si="6"/>
        <v>Low</v>
      </c>
      <c r="Y47" t="str">
        <f t="shared" si="7"/>
        <v>Low</v>
      </c>
      <c r="Z47" t="str">
        <f t="shared" si="8"/>
        <v>Low</v>
      </c>
      <c r="AA47" t="str">
        <f t="shared" si="9"/>
        <v>Low</v>
      </c>
      <c r="AB47" t="str">
        <f t="shared" si="10"/>
        <v>Low</v>
      </c>
      <c r="AC47" t="str">
        <f t="shared" si="11"/>
        <v>Low</v>
      </c>
      <c r="AD47" t="str">
        <f>VLOOKUP(A47,MultimodalConnectivity_Corridor!$A$2:$K$57,11,FALSE)</f>
        <v>High</v>
      </c>
      <c r="AE47">
        <f>VLOOKUP(A47,[2]METRICS!$AA$2:$AC$70,3,FALSE)</f>
        <v>14798.043466650141</v>
      </c>
      <c r="AG47">
        <v>1</v>
      </c>
      <c r="AH47">
        <f>VLOOKUP(A47,[2]METRICS!$AA$2:$AD$70,4,FALSE)</f>
        <v>2.1683949999999999</v>
      </c>
      <c r="AI47">
        <v>0</v>
      </c>
      <c r="AJ47">
        <v>54.104570000000002</v>
      </c>
      <c r="AK47">
        <v>7.3472910000000002</v>
      </c>
      <c r="AL47">
        <v>1.5306508555172684</v>
      </c>
      <c r="AM47">
        <v>1.1268566796380868</v>
      </c>
      <c r="AN47">
        <v>0</v>
      </c>
      <c r="AO47">
        <v>1</v>
      </c>
      <c r="AQ47">
        <v>336.5</v>
      </c>
      <c r="AR47">
        <v>2.9</v>
      </c>
      <c r="AS47">
        <v>4</v>
      </c>
      <c r="AT47" t="s">
        <v>29</v>
      </c>
    </row>
    <row r="48" spans="1:46" x14ac:dyDescent="0.25">
      <c r="A48" t="s">
        <v>76</v>
      </c>
      <c r="B48">
        <v>168.085317269</v>
      </c>
      <c r="C48">
        <v>5.2453208502275757E-2</v>
      </c>
      <c r="D48">
        <v>6.1244788538774769E-2</v>
      </c>
      <c r="E48">
        <v>1</v>
      </c>
      <c r="G48">
        <v>1.9023060000000001</v>
      </c>
      <c r="H48">
        <v>2144.1129219999998</v>
      </c>
      <c r="I48">
        <v>206.50758500000001</v>
      </c>
      <c r="J48" t="s">
        <v>191</v>
      </c>
      <c r="K48" t="s">
        <v>191</v>
      </c>
      <c r="L48" t="s">
        <v>188</v>
      </c>
      <c r="M48" t="s">
        <v>188</v>
      </c>
      <c r="N48" t="str">
        <f t="shared" si="0"/>
        <v>High</v>
      </c>
      <c r="O48" t="str">
        <f t="shared" si="1"/>
        <v>High</v>
      </c>
      <c r="P48" t="str">
        <f t="shared" si="2"/>
        <v>High</v>
      </c>
      <c r="Q48" t="str">
        <f t="shared" si="3"/>
        <v>High</v>
      </c>
      <c r="R48" t="str">
        <f t="shared" si="4"/>
        <v>High</v>
      </c>
      <c r="S48" t="str">
        <f t="shared" si="5"/>
        <v>High</v>
      </c>
      <c r="T48" t="str">
        <f>VLOOKUP(A48,[1]R2R_N_corridors_Final50!$A$2:$AM$57,39,FALSE)</f>
        <v>Utilize_Low</v>
      </c>
      <c r="U48" t="str">
        <f>VLOOKUP(A48,[1]R2R_N_corridors_Final50!$A$2:$AO$57,41,FALSE)</f>
        <v>Utilize_Low</v>
      </c>
      <c r="V48" t="str">
        <f>VLOOKUP(A48,[1]R2R_N_corridors_Final50!$A$2:$AN$57,40,FALSE)</f>
        <v>Avoid_Low</v>
      </c>
      <c r="W48" t="str">
        <f>VLOOKUP(A48,[1]R2R_N_corridors_Final50!$A$2:$AP$57,42,FALSE)</f>
        <v>Avoid_Low</v>
      </c>
      <c r="X48" t="str">
        <f t="shared" si="6"/>
        <v>Low</v>
      </c>
      <c r="Y48" t="str">
        <f t="shared" si="7"/>
        <v>Low</v>
      </c>
      <c r="Z48" t="str">
        <f t="shared" si="8"/>
        <v>High</v>
      </c>
      <c r="AA48" t="str">
        <f t="shared" si="9"/>
        <v>High</v>
      </c>
      <c r="AB48" t="str">
        <f t="shared" si="10"/>
        <v>Low</v>
      </c>
      <c r="AC48" t="str">
        <f t="shared" si="11"/>
        <v>High</v>
      </c>
      <c r="AD48" t="str">
        <f>VLOOKUP(A48,MultimodalConnectivity_Corridor!$A$2:$K$57,11,FALSE)</f>
        <v>High</v>
      </c>
      <c r="AE48">
        <f>VLOOKUP(A48,[2]METRICS!$AA$2:$AC$70,3,FALSE)</f>
        <v>3745.3420374828488</v>
      </c>
      <c r="AG48">
        <v>0</v>
      </c>
      <c r="AH48">
        <f>VLOOKUP(A48,[2]METRICS!$AA$2:$AD$70,4,FALSE)</f>
        <v>2.2199800000000001</v>
      </c>
      <c r="AI48">
        <v>0</v>
      </c>
      <c r="AJ48">
        <v>85.035593000000006</v>
      </c>
      <c r="AK48">
        <v>7.3913039999999999</v>
      </c>
      <c r="AL48">
        <v>1.2039986913950795</v>
      </c>
      <c r="AM48">
        <v>1.0380974426307559</v>
      </c>
      <c r="AN48">
        <v>1</v>
      </c>
      <c r="AO48">
        <v>1</v>
      </c>
      <c r="AQ48">
        <v>156.65</v>
      </c>
      <c r="AR48">
        <v>2.2999999999999998</v>
      </c>
      <c r="AS48">
        <v>2</v>
      </c>
      <c r="AT48" t="s">
        <v>32</v>
      </c>
    </row>
    <row r="49" spans="1:46" x14ac:dyDescent="0.25">
      <c r="A49" t="s">
        <v>77</v>
      </c>
      <c r="B49">
        <v>108.143126791</v>
      </c>
      <c r="C49">
        <v>0.38510698651260694</v>
      </c>
      <c r="D49">
        <v>0.32300499715165731</v>
      </c>
      <c r="E49">
        <v>1.0130892386494736</v>
      </c>
      <c r="G49">
        <v>1.5714889999999999</v>
      </c>
      <c r="H49">
        <v>6212.3092779999997</v>
      </c>
      <c r="I49">
        <v>732.05425400000001</v>
      </c>
      <c r="J49" t="s">
        <v>191</v>
      </c>
      <c r="K49" t="s">
        <v>191</v>
      </c>
      <c r="L49" t="s">
        <v>191</v>
      </c>
      <c r="M49" t="s">
        <v>191</v>
      </c>
      <c r="N49" t="str">
        <f t="shared" si="0"/>
        <v>High</v>
      </c>
      <c r="O49" t="str">
        <f t="shared" si="1"/>
        <v>High</v>
      </c>
      <c r="P49" t="str">
        <f t="shared" si="2"/>
        <v>High</v>
      </c>
      <c r="Q49" t="str">
        <f t="shared" si="3"/>
        <v>High</v>
      </c>
      <c r="R49" t="str">
        <f t="shared" si="4"/>
        <v>High</v>
      </c>
      <c r="S49" t="str">
        <f t="shared" si="5"/>
        <v>High</v>
      </c>
      <c r="T49" t="str">
        <f>VLOOKUP(A49,[1]R2R_N_corridors_Final50!$A$2:$AM$57,39,FALSE)</f>
        <v>Avoid_High</v>
      </c>
      <c r="U49" t="str">
        <f>VLOOKUP(A49,[1]R2R_N_corridors_Final50!$A$2:$AO$57,41,FALSE)</f>
        <v>Avoid_High</v>
      </c>
      <c r="V49" t="str">
        <f>VLOOKUP(A49,[1]R2R_N_corridors_Final50!$A$2:$AN$57,40,FALSE)</f>
        <v>Avoid_High</v>
      </c>
      <c r="W49" t="str">
        <f>VLOOKUP(A49,[1]R2R_N_corridors_Final50!$A$2:$AP$57,42,FALSE)</f>
        <v>Avoid_High</v>
      </c>
      <c r="X49" t="str">
        <f t="shared" si="6"/>
        <v>High</v>
      </c>
      <c r="Y49" t="str">
        <f t="shared" si="7"/>
        <v>High</v>
      </c>
      <c r="Z49" t="str">
        <f t="shared" si="8"/>
        <v>High</v>
      </c>
      <c r="AA49" t="str">
        <f t="shared" si="9"/>
        <v>High</v>
      </c>
      <c r="AB49" t="str">
        <f t="shared" si="10"/>
        <v>High</v>
      </c>
      <c r="AC49" t="str">
        <f t="shared" si="11"/>
        <v>High</v>
      </c>
      <c r="AD49" t="str">
        <f>VLOOKUP(A49,MultimodalConnectivity_Corridor!$A$2:$K$57,11,FALSE)</f>
        <v>High</v>
      </c>
      <c r="AE49">
        <f>VLOOKUP(A49,[2]METRICS!$AA$2:$AC$70,3,FALSE)</f>
        <v>17154.960856331476</v>
      </c>
      <c r="AG49">
        <v>1</v>
      </c>
      <c r="AH49">
        <f>VLOOKUP(A49,[2]METRICS!$AA$2:$AD$70,4,FALSE)</f>
        <v>6.3847757096812821</v>
      </c>
      <c r="AI49">
        <v>1</v>
      </c>
      <c r="AJ49">
        <v>88.159749000000005</v>
      </c>
      <c r="AK49">
        <v>10.52819</v>
      </c>
      <c r="AL49">
        <v>1.1834694587836405</v>
      </c>
      <c r="AM49">
        <v>1.0311855801947623</v>
      </c>
      <c r="AN49">
        <v>0</v>
      </c>
      <c r="AO49">
        <v>1</v>
      </c>
      <c r="AQ49">
        <v>533.04999999999995</v>
      </c>
      <c r="AR49">
        <v>6.9</v>
      </c>
      <c r="AS49">
        <v>2</v>
      </c>
      <c r="AT49" t="s">
        <v>32</v>
      </c>
    </row>
    <row r="50" spans="1:46" x14ac:dyDescent="0.25">
      <c r="A50" t="s">
        <v>78</v>
      </c>
      <c r="B50">
        <v>32.8099010761999</v>
      </c>
      <c r="C50">
        <v>5.3595825049229065E-2</v>
      </c>
      <c r="D50">
        <v>6.3880907162532419E-2</v>
      </c>
      <c r="E50">
        <v>1</v>
      </c>
      <c r="G50">
        <v>1.8571040000000001</v>
      </c>
      <c r="H50">
        <v>648.96084299999995</v>
      </c>
      <c r="I50">
        <v>1325.9280140000001</v>
      </c>
      <c r="J50" t="s">
        <v>191</v>
      </c>
      <c r="K50" t="s">
        <v>191</v>
      </c>
      <c r="L50" t="s">
        <v>190</v>
      </c>
      <c r="M50" t="s">
        <v>190</v>
      </c>
      <c r="N50" t="str">
        <f t="shared" si="0"/>
        <v>High</v>
      </c>
      <c r="O50" t="str">
        <f t="shared" si="1"/>
        <v>High</v>
      </c>
      <c r="P50" t="str">
        <f t="shared" si="2"/>
        <v>High</v>
      </c>
      <c r="Q50" t="str">
        <f t="shared" si="3"/>
        <v>High</v>
      </c>
      <c r="R50" t="str">
        <f t="shared" si="4"/>
        <v>High</v>
      </c>
      <c r="S50" t="str">
        <f t="shared" si="5"/>
        <v>High</v>
      </c>
      <c r="T50" t="str">
        <f>VLOOKUP(A50,[1]R2R_N_corridors_Final50!$A$2:$AM$57,39,FALSE)</f>
        <v>Utilize_Med</v>
      </c>
      <c r="U50" t="str">
        <f>VLOOKUP(A50,[1]R2R_N_corridors_Final50!$A$2:$AO$57,41,FALSE)</f>
        <v>Utilize_Med</v>
      </c>
      <c r="V50" t="str">
        <f>VLOOKUP(A50,[1]R2R_N_corridors_Final50!$A$2:$AN$57,40,FALSE)</f>
        <v>Utilize_High</v>
      </c>
      <c r="W50" t="str">
        <f>VLOOKUP(A50,[1]R2R_N_corridors_Final50!$A$2:$AP$57,42,FALSE)</f>
        <v>Utilize_High</v>
      </c>
      <c r="X50" t="str">
        <f t="shared" si="6"/>
        <v>Low</v>
      </c>
      <c r="Y50" t="str">
        <f t="shared" si="7"/>
        <v>Low</v>
      </c>
      <c r="Z50" t="str">
        <f t="shared" si="8"/>
        <v>Low</v>
      </c>
      <c r="AA50" t="str">
        <f t="shared" si="9"/>
        <v>Low</v>
      </c>
      <c r="AB50" t="str">
        <f t="shared" si="10"/>
        <v>Low</v>
      </c>
      <c r="AC50" t="str">
        <f t="shared" si="11"/>
        <v>Low</v>
      </c>
      <c r="AD50" t="str">
        <f>VLOOKUP(A50,MultimodalConnectivity_Corridor!$A$2:$K$57,11,FALSE)</f>
        <v>Med</v>
      </c>
      <c r="AE50">
        <f>VLOOKUP(A50,[2]METRICS!$AA$2:$AC$70,3,FALSE)</f>
        <v>5204.7003389323081</v>
      </c>
      <c r="AG50">
        <v>0</v>
      </c>
      <c r="AH50">
        <f>VLOOKUP(A50,[2]METRICS!$AA$2:$AD$70,4,FALSE)</f>
        <v>1.9370982293976058</v>
      </c>
      <c r="AI50">
        <v>1</v>
      </c>
      <c r="AJ50">
        <v>100</v>
      </c>
      <c r="AK50">
        <v>9</v>
      </c>
      <c r="AL50">
        <v>1.0549919048713572</v>
      </c>
      <c r="AM50">
        <v>1.0298849453978158</v>
      </c>
      <c r="AN50">
        <v>0</v>
      </c>
      <c r="AO50">
        <v>1.1742389335485459</v>
      </c>
      <c r="AQ50">
        <v>226.6</v>
      </c>
      <c r="AR50">
        <v>1.9</v>
      </c>
      <c r="AS50">
        <v>3</v>
      </c>
      <c r="AT50" t="s">
        <v>30</v>
      </c>
    </row>
    <row r="51" spans="1:46" x14ac:dyDescent="0.25">
      <c r="A51" t="s">
        <v>79</v>
      </c>
      <c r="B51">
        <v>190.605222900999</v>
      </c>
      <c r="C51">
        <v>0.14201273201396539</v>
      </c>
      <c r="D51">
        <v>0.23878668330940053</v>
      </c>
      <c r="E51">
        <v>1</v>
      </c>
      <c r="G51">
        <v>1.590433</v>
      </c>
      <c r="H51">
        <v>1894.0990609999999</v>
      </c>
      <c r="I51">
        <v>516.40355799999998</v>
      </c>
      <c r="J51" t="s">
        <v>190</v>
      </c>
      <c r="K51" t="s">
        <v>190</v>
      </c>
      <c r="L51" t="s">
        <v>188</v>
      </c>
      <c r="M51" t="s">
        <v>188</v>
      </c>
      <c r="N51" t="str">
        <f t="shared" si="0"/>
        <v>High</v>
      </c>
      <c r="O51" t="str">
        <f t="shared" si="1"/>
        <v>High</v>
      </c>
      <c r="P51" t="str">
        <f t="shared" si="2"/>
        <v>High</v>
      </c>
      <c r="Q51" t="str">
        <f t="shared" si="3"/>
        <v>High</v>
      </c>
      <c r="R51" t="str">
        <f t="shared" si="4"/>
        <v>High</v>
      </c>
      <c r="S51" t="str">
        <f t="shared" si="5"/>
        <v>High</v>
      </c>
      <c r="T51" t="str">
        <f>VLOOKUP(A51,[1]R2R_N_corridors_Final50!$A$2:$AM$57,39,FALSE)</f>
        <v>Utilize_Low</v>
      </c>
      <c r="U51" t="str">
        <f>VLOOKUP(A51,[1]R2R_N_corridors_Final50!$A$2:$AO$57,41,FALSE)</f>
        <v>Utilize_Low</v>
      </c>
      <c r="V51" t="str">
        <f>VLOOKUP(A51,[1]R2R_N_corridors_Final50!$A$2:$AN$57,40,FALSE)</f>
        <v>Utilize_High</v>
      </c>
      <c r="W51" t="str">
        <f>VLOOKUP(A51,[1]R2R_N_corridors_Final50!$A$2:$AP$57,42,FALSE)</f>
        <v>Utilize_High</v>
      </c>
      <c r="X51" t="str">
        <f t="shared" si="6"/>
        <v>Low</v>
      </c>
      <c r="Y51" t="str">
        <f t="shared" si="7"/>
        <v>Low</v>
      </c>
      <c r="Z51" t="str">
        <f t="shared" si="8"/>
        <v>Low</v>
      </c>
      <c r="AA51" t="str">
        <f t="shared" si="9"/>
        <v>Low</v>
      </c>
      <c r="AB51" t="str">
        <f t="shared" si="10"/>
        <v>Low</v>
      </c>
      <c r="AC51" t="str">
        <f t="shared" si="11"/>
        <v>Low</v>
      </c>
      <c r="AD51" t="str">
        <f>VLOOKUP(A51,MultimodalConnectivity_Corridor!$A$2:$K$57,11,FALSE)</f>
        <v>Med</v>
      </c>
      <c r="AE51">
        <f>VLOOKUP(A51,[2]METRICS!$AA$2:$AC$70,3,FALSE)</f>
        <v>30236.088366469339</v>
      </c>
      <c r="AG51">
        <v>0</v>
      </c>
      <c r="AH51">
        <f>VLOOKUP(A51,[2]METRICS!$AA$2:$AD$70,4,FALSE)</f>
        <v>11.25334206092111</v>
      </c>
      <c r="AI51">
        <v>1</v>
      </c>
      <c r="AJ51">
        <v>24.549339</v>
      </c>
      <c r="AK51">
        <v>7.6852999999999998</v>
      </c>
      <c r="AL51">
        <v>1.1013082606904825</v>
      </c>
      <c r="AM51">
        <v>1.1443490384840367</v>
      </c>
      <c r="AN51">
        <v>0</v>
      </c>
      <c r="AO51">
        <v>1</v>
      </c>
      <c r="AQ51">
        <v>601.54999999999995</v>
      </c>
      <c r="AR51">
        <v>13.1</v>
      </c>
      <c r="AS51">
        <v>10</v>
      </c>
      <c r="AT51" t="s">
        <v>29</v>
      </c>
    </row>
    <row r="52" spans="1:46" x14ac:dyDescent="0.25">
      <c r="A52" t="s">
        <v>80</v>
      </c>
      <c r="B52">
        <v>206.581413717</v>
      </c>
      <c r="C52">
        <v>0.24209926299129245</v>
      </c>
      <c r="D52">
        <v>0.25595072662920121</v>
      </c>
      <c r="E52">
        <v>1.0059882502700923</v>
      </c>
      <c r="G52">
        <v>1.3569599999999999</v>
      </c>
      <c r="H52">
        <v>4886.8723719999998</v>
      </c>
      <c r="I52">
        <v>452.00626799999998</v>
      </c>
      <c r="J52" t="s">
        <v>187</v>
      </c>
      <c r="K52" t="s">
        <v>187</v>
      </c>
      <c r="L52" t="s">
        <v>191</v>
      </c>
      <c r="M52" t="s">
        <v>191</v>
      </c>
      <c r="N52" t="str">
        <f t="shared" si="0"/>
        <v>Low</v>
      </c>
      <c r="O52" t="str">
        <f t="shared" si="1"/>
        <v>Low</v>
      </c>
      <c r="P52" t="str">
        <f t="shared" si="2"/>
        <v>High</v>
      </c>
      <c r="Q52" t="str">
        <f t="shared" si="3"/>
        <v>High</v>
      </c>
      <c r="R52" t="str">
        <f t="shared" si="4"/>
        <v>Low</v>
      </c>
      <c r="S52" t="str">
        <f t="shared" si="5"/>
        <v>High</v>
      </c>
      <c r="T52" t="str">
        <f>VLOOKUP(A52,[1]R2R_N_corridors_Final50!$A$2:$AM$57,39,FALSE)</f>
        <v>Utilize_Med</v>
      </c>
      <c r="U52" t="str">
        <f>VLOOKUP(A52,[1]R2R_N_corridors_Final50!$A$2:$AO$57,41,FALSE)</f>
        <v>Utilize_Med</v>
      </c>
      <c r="V52" t="str">
        <f>VLOOKUP(A52,[1]R2R_N_corridors_Final50!$A$2:$AN$57,40,FALSE)</f>
        <v>Avoid_High</v>
      </c>
      <c r="W52" t="str">
        <f>VLOOKUP(A52,[1]R2R_N_corridors_Final50!$A$2:$AP$57,42,FALSE)</f>
        <v>Avoid_High</v>
      </c>
      <c r="X52" t="str">
        <f t="shared" si="6"/>
        <v>Low</v>
      </c>
      <c r="Y52" t="str">
        <f t="shared" si="7"/>
        <v>Low</v>
      </c>
      <c r="Z52" t="str">
        <f t="shared" si="8"/>
        <v>High</v>
      </c>
      <c r="AA52" t="str">
        <f t="shared" si="9"/>
        <v>High</v>
      </c>
      <c r="AB52" t="str">
        <f t="shared" si="10"/>
        <v>Low</v>
      </c>
      <c r="AC52" t="str">
        <f t="shared" si="11"/>
        <v>High</v>
      </c>
      <c r="AD52" t="str">
        <f>VLOOKUP(A52,MultimodalConnectivity_Corridor!$A$2:$K$57,11,FALSE)</f>
        <v>High</v>
      </c>
      <c r="AE52">
        <f>VLOOKUP(A52,[2]METRICS!$AA$2:$AC$70,3,FALSE)</f>
        <v>41987.057311968048</v>
      </c>
      <c r="AG52">
        <v>1</v>
      </c>
      <c r="AH52">
        <f>VLOOKUP(A52,[2]METRICS!$AA$2:$AD$70,4,FALSE)</f>
        <v>4.0078476404312759</v>
      </c>
      <c r="AI52">
        <v>0</v>
      </c>
      <c r="AJ52">
        <v>28.862358</v>
      </c>
      <c r="AK52">
        <v>7.714493</v>
      </c>
      <c r="AL52">
        <v>1.1369897780361773</v>
      </c>
      <c r="AM52">
        <v>1.0611482657140316</v>
      </c>
      <c r="AN52">
        <v>1</v>
      </c>
      <c r="AO52">
        <v>1.0377639572631132</v>
      </c>
      <c r="AQ52">
        <v>654</v>
      </c>
      <c r="AR52">
        <v>7</v>
      </c>
      <c r="AS52">
        <v>7</v>
      </c>
      <c r="AT52" t="s">
        <v>29</v>
      </c>
    </row>
    <row r="53" spans="1:46" x14ac:dyDescent="0.25">
      <c r="A53" t="s">
        <v>81</v>
      </c>
      <c r="B53">
        <v>195.19672245000001</v>
      </c>
      <c r="C53">
        <v>2.0897731215814234E-2</v>
      </c>
      <c r="D53">
        <v>1.2554552010443866E-2</v>
      </c>
      <c r="E53">
        <v>1</v>
      </c>
      <c r="G53">
        <v>1.8643529999999999</v>
      </c>
      <c r="H53">
        <v>285.12941799999999</v>
      </c>
      <c r="I53">
        <v>99.844666000000004</v>
      </c>
      <c r="J53" t="s">
        <v>191</v>
      </c>
      <c r="K53" t="s">
        <v>191</v>
      </c>
      <c r="L53" t="s">
        <v>188</v>
      </c>
      <c r="M53" t="s">
        <v>188</v>
      </c>
      <c r="N53" t="str">
        <f t="shared" si="0"/>
        <v>High</v>
      </c>
      <c r="O53" t="str">
        <f t="shared" si="1"/>
        <v>High</v>
      </c>
      <c r="P53" t="str">
        <f t="shared" si="2"/>
        <v>High</v>
      </c>
      <c r="Q53" t="str">
        <f t="shared" si="3"/>
        <v>High</v>
      </c>
      <c r="R53" t="str">
        <f t="shared" si="4"/>
        <v>High</v>
      </c>
      <c r="S53" t="str">
        <f t="shared" si="5"/>
        <v>High</v>
      </c>
      <c r="T53" t="str">
        <f>VLOOKUP(A53,[1]R2R_N_corridors_Final50!$A$2:$AM$57,39,FALSE)</f>
        <v>Utilize_Low</v>
      </c>
      <c r="U53" t="str">
        <f>VLOOKUP(A53,[1]R2R_N_corridors_Final50!$A$2:$AO$57,41,FALSE)</f>
        <v>Utilize_Low</v>
      </c>
      <c r="V53" t="str">
        <f>VLOOKUP(A53,[1]R2R_N_corridors_Final50!$A$2:$AN$57,40,FALSE)</f>
        <v>Avoid_Low</v>
      </c>
      <c r="W53" t="str">
        <f>VLOOKUP(A53,[1]R2R_N_corridors_Final50!$A$2:$AP$57,42,FALSE)</f>
        <v>Avoid_Low</v>
      </c>
      <c r="X53" t="str">
        <f t="shared" si="6"/>
        <v>Low</v>
      </c>
      <c r="Y53" t="str">
        <f t="shared" si="7"/>
        <v>Low</v>
      </c>
      <c r="Z53" t="str">
        <f t="shared" si="8"/>
        <v>High</v>
      </c>
      <c r="AA53" t="str">
        <f t="shared" si="9"/>
        <v>High</v>
      </c>
      <c r="AB53" t="str">
        <f t="shared" si="10"/>
        <v>Low</v>
      </c>
      <c r="AC53" t="str">
        <f t="shared" si="11"/>
        <v>High</v>
      </c>
      <c r="AD53" t="str">
        <f>VLOOKUP(A53,MultimodalConnectivity_Corridor!$A$2:$K$57,11,FALSE)</f>
        <v>High</v>
      </c>
      <c r="AE53">
        <f>VLOOKUP(A53,[2]METRICS!$AA$2:$AC$70,3,FALSE)</f>
        <v>39673.152706002737</v>
      </c>
      <c r="AG53">
        <v>0</v>
      </c>
      <c r="AH53">
        <f>VLOOKUP(A53,[2]METRICS!$AA$2:$AD$70,4,FALSE)</f>
        <v>3.7869753595687232</v>
      </c>
      <c r="AI53">
        <v>0</v>
      </c>
      <c r="AJ53">
        <v>85.831629000000007</v>
      </c>
      <c r="AK53">
        <v>8.3712689999999998</v>
      </c>
      <c r="AL53">
        <v>1.1450559393321624</v>
      </c>
      <c r="AM53">
        <v>1.043765766278157</v>
      </c>
      <c r="AN53">
        <v>1</v>
      </c>
      <c r="AO53">
        <v>1</v>
      </c>
      <c r="AQ53">
        <v>258.8</v>
      </c>
      <c r="AR53">
        <v>3.8</v>
      </c>
      <c r="AS53">
        <v>9</v>
      </c>
      <c r="AT53" t="s">
        <v>29</v>
      </c>
    </row>
    <row r="54" spans="1:46" x14ac:dyDescent="0.25">
      <c r="A54" t="s">
        <v>82</v>
      </c>
      <c r="B54">
        <v>122.665972260999</v>
      </c>
      <c r="C54">
        <v>2.4288786490366365E-2</v>
      </c>
      <c r="D54">
        <v>2.6755980167030662E-2</v>
      </c>
      <c r="E54">
        <v>1</v>
      </c>
      <c r="G54">
        <v>1.645338</v>
      </c>
      <c r="H54">
        <v>756.64651300000003</v>
      </c>
      <c r="I54">
        <v>1108.3358009999999</v>
      </c>
      <c r="J54" t="s">
        <v>188</v>
      </c>
      <c r="K54" t="s">
        <v>188</v>
      </c>
      <c r="L54" t="s">
        <v>188</v>
      </c>
      <c r="M54" t="s">
        <v>188</v>
      </c>
      <c r="N54" t="str">
        <f t="shared" si="0"/>
        <v>High</v>
      </c>
      <c r="O54" t="str">
        <f t="shared" si="1"/>
        <v>High</v>
      </c>
      <c r="P54" t="str">
        <f t="shared" si="2"/>
        <v>High</v>
      </c>
      <c r="Q54" t="str">
        <f t="shared" si="3"/>
        <v>High</v>
      </c>
      <c r="R54" t="str">
        <f t="shared" si="4"/>
        <v>High</v>
      </c>
      <c r="S54" t="str">
        <f t="shared" si="5"/>
        <v>High</v>
      </c>
      <c r="T54" t="str">
        <f>VLOOKUP(A54,[1]R2R_N_corridors_Final50!$A$2:$AM$57,39,FALSE)</f>
        <v>Utilize_Low</v>
      </c>
      <c r="U54" t="str">
        <f>VLOOKUP(A54,[1]R2R_N_corridors_Final50!$A$2:$AO$57,41,FALSE)</f>
        <v>Utilize_Low</v>
      </c>
      <c r="V54" t="str">
        <f>VLOOKUP(A54,[1]R2R_N_corridors_Final50!$A$2:$AN$57,40,FALSE)</f>
        <v>Avoid_Low</v>
      </c>
      <c r="W54" t="str">
        <f>VLOOKUP(A54,[1]R2R_N_corridors_Final50!$A$2:$AP$57,42,FALSE)</f>
        <v>Avoid_Low</v>
      </c>
      <c r="X54" t="str">
        <f t="shared" si="6"/>
        <v>Low</v>
      </c>
      <c r="Y54" t="str">
        <f t="shared" si="7"/>
        <v>Low</v>
      </c>
      <c r="Z54" t="str">
        <f t="shared" si="8"/>
        <v>High</v>
      </c>
      <c r="AA54" t="str">
        <f t="shared" si="9"/>
        <v>High</v>
      </c>
      <c r="AB54" t="str">
        <f t="shared" si="10"/>
        <v>Low</v>
      </c>
      <c r="AC54" t="str">
        <f t="shared" si="11"/>
        <v>High</v>
      </c>
      <c r="AD54" t="str">
        <f>VLOOKUP(A54,MultimodalConnectivity_Corridor!$A$2:$K$57,11,FALSE)</f>
        <v>Low</v>
      </c>
      <c r="AE54">
        <f>VLOOKUP(A54,[2]METRICS!$AA$2:$AC$70,3,FALSE)</f>
        <v>2517.1497562360491</v>
      </c>
      <c r="AG54">
        <v>0</v>
      </c>
      <c r="AH54">
        <f>VLOOKUP(A54,[2]METRICS!$AA$2:$AD$70,4,FALSE)</f>
        <v>4.4820149999999996</v>
      </c>
      <c r="AI54">
        <v>0</v>
      </c>
      <c r="AJ54">
        <v>96.567592000000005</v>
      </c>
      <c r="AK54">
        <v>6.9832400000000003</v>
      </c>
      <c r="AL54">
        <v>1.0176321495156497</v>
      </c>
      <c r="AM54">
        <v>1.0826877687975982</v>
      </c>
      <c r="AN54">
        <v>0</v>
      </c>
      <c r="AO54">
        <v>1</v>
      </c>
      <c r="AQ54">
        <v>224.8</v>
      </c>
      <c r="AR54">
        <v>1.4</v>
      </c>
      <c r="AS54">
        <v>4</v>
      </c>
      <c r="AT54" t="s">
        <v>32</v>
      </c>
    </row>
    <row r="55" spans="1:46" x14ac:dyDescent="0.25">
      <c r="A55" t="s">
        <v>83</v>
      </c>
      <c r="B55">
        <v>123.780828525</v>
      </c>
      <c r="C55">
        <v>9.8757437302769049E-2</v>
      </c>
      <c r="D55">
        <v>0.11393224274935648</v>
      </c>
      <c r="E55">
        <v>1</v>
      </c>
      <c r="G55">
        <v>1.578946</v>
      </c>
      <c r="H55">
        <v>476.06241299999999</v>
      </c>
      <c r="I55">
        <v>134.98706799999999</v>
      </c>
      <c r="J55" t="s">
        <v>191</v>
      </c>
      <c r="K55" t="s">
        <v>191</v>
      </c>
      <c r="L55" t="s">
        <v>187</v>
      </c>
      <c r="M55" t="s">
        <v>187</v>
      </c>
      <c r="N55" t="str">
        <f t="shared" si="0"/>
        <v>High</v>
      </c>
      <c r="O55" t="str">
        <f t="shared" si="1"/>
        <v>High</v>
      </c>
      <c r="P55" t="str">
        <f t="shared" si="2"/>
        <v>Low</v>
      </c>
      <c r="Q55" t="str">
        <f t="shared" si="3"/>
        <v>Low</v>
      </c>
      <c r="R55" t="str">
        <f t="shared" si="4"/>
        <v>High</v>
      </c>
      <c r="S55" t="str">
        <f t="shared" si="5"/>
        <v>Low</v>
      </c>
      <c r="T55" t="str">
        <f>VLOOKUP(A55,[1]R2R_N_corridors_Final50!$A$2:$AM$57,39,FALSE)</f>
        <v>Utilize_Med</v>
      </c>
      <c r="U55" t="str">
        <f>VLOOKUP(A55,[1]R2R_N_corridors_Final50!$A$2:$AO$57,41,FALSE)</f>
        <v>Utilize_Med</v>
      </c>
      <c r="V55" t="str">
        <f>VLOOKUP(A55,[1]R2R_N_corridors_Final50!$A$2:$AN$57,40,FALSE)</f>
        <v>Utilize_High</v>
      </c>
      <c r="W55" t="str">
        <f>VLOOKUP(A55,[1]R2R_N_corridors_Final50!$A$2:$AP$57,42,FALSE)</f>
        <v>Utilize_High</v>
      </c>
      <c r="X55" t="str">
        <f t="shared" si="6"/>
        <v>Low</v>
      </c>
      <c r="Y55" t="str">
        <f t="shared" si="7"/>
        <v>Low</v>
      </c>
      <c r="Z55" t="str">
        <f t="shared" si="8"/>
        <v>Low</v>
      </c>
      <c r="AA55" t="str">
        <f t="shared" si="9"/>
        <v>Low</v>
      </c>
      <c r="AB55" t="str">
        <f t="shared" si="10"/>
        <v>Low</v>
      </c>
      <c r="AC55" t="str">
        <f t="shared" si="11"/>
        <v>Low</v>
      </c>
      <c r="AD55" t="str">
        <f>VLOOKUP(A55,MultimodalConnectivity_Corridor!$A$2:$K$57,11,FALSE)</f>
        <v>Med</v>
      </c>
      <c r="AE55">
        <f>VLOOKUP(A55,[2]METRICS!$AA$2:$AC$70,3,FALSE)</f>
        <v>30853.02252124334</v>
      </c>
      <c r="AG55">
        <v>1</v>
      </c>
      <c r="AH55">
        <f>VLOOKUP(A55,[2]METRICS!$AA$2:$AD$70,4,FALSE)</f>
        <v>2.3370305956571729</v>
      </c>
      <c r="AI55">
        <v>0</v>
      </c>
      <c r="AJ55">
        <v>80.662585000000007</v>
      </c>
      <c r="AK55">
        <v>6.9117649999999999</v>
      </c>
      <c r="AL55">
        <v>1.0124992313458365</v>
      </c>
      <c r="AM55">
        <v>1.078483713044972</v>
      </c>
      <c r="AN55">
        <v>0</v>
      </c>
      <c r="AO55">
        <v>1</v>
      </c>
      <c r="AQ55">
        <v>228.45</v>
      </c>
      <c r="AR55">
        <v>1.3</v>
      </c>
      <c r="AS55">
        <v>3</v>
      </c>
      <c r="AT55" t="s">
        <v>29</v>
      </c>
    </row>
    <row r="56" spans="1:46" x14ac:dyDescent="0.25">
      <c r="A56" t="s">
        <v>84</v>
      </c>
      <c r="B56">
        <v>96.577199252</v>
      </c>
      <c r="C56">
        <v>0.16135566425189504</v>
      </c>
      <c r="D56">
        <v>0.11479136874344896</v>
      </c>
      <c r="E56">
        <v>1.0120049223720635</v>
      </c>
      <c r="G56">
        <v>1.511663</v>
      </c>
      <c r="H56">
        <v>3732.3383429999999</v>
      </c>
      <c r="I56">
        <v>630.48683900000003</v>
      </c>
      <c r="J56" t="s">
        <v>191</v>
      </c>
      <c r="K56" t="s">
        <v>191</v>
      </c>
      <c r="L56" t="s">
        <v>192</v>
      </c>
      <c r="M56" t="s">
        <v>192</v>
      </c>
      <c r="N56" t="str">
        <f t="shared" si="0"/>
        <v>High</v>
      </c>
      <c r="O56" t="str">
        <f t="shared" si="1"/>
        <v>High</v>
      </c>
      <c r="P56" t="str">
        <f t="shared" si="2"/>
        <v>Low</v>
      </c>
      <c r="Q56" t="str">
        <f t="shared" si="3"/>
        <v>Low</v>
      </c>
      <c r="R56" t="str">
        <f t="shared" si="4"/>
        <v>High</v>
      </c>
      <c r="S56" t="str">
        <f t="shared" si="5"/>
        <v>Low</v>
      </c>
      <c r="T56" t="str">
        <f>VLOOKUP(A56,[1]R2R_N_corridors_Final50!$A$2:$AM$57,39,FALSE)</f>
        <v>Utilize_Med</v>
      </c>
      <c r="U56" t="str">
        <f>VLOOKUP(A56,[1]R2R_N_corridors_Final50!$A$2:$AO$57,41,FALSE)</f>
        <v>Utilize_Med</v>
      </c>
      <c r="V56" t="str">
        <f>VLOOKUP(A56,[1]R2R_N_corridors_Final50!$A$2:$AN$57,40,FALSE)</f>
        <v>Utilize_High</v>
      </c>
      <c r="W56" t="str">
        <f>VLOOKUP(A56,[1]R2R_N_corridors_Final50!$A$2:$AP$57,42,FALSE)</f>
        <v>Utilize_High</v>
      </c>
      <c r="X56" t="str">
        <f t="shared" si="6"/>
        <v>Low</v>
      </c>
      <c r="Y56" t="str">
        <f t="shared" si="7"/>
        <v>Low</v>
      </c>
      <c r="Z56" t="str">
        <f t="shared" si="8"/>
        <v>Low</v>
      </c>
      <c r="AA56" t="str">
        <f t="shared" si="9"/>
        <v>Low</v>
      </c>
      <c r="AB56" t="str">
        <f t="shared" si="10"/>
        <v>Low</v>
      </c>
      <c r="AC56" t="str">
        <f t="shared" si="11"/>
        <v>Low</v>
      </c>
      <c r="AD56" t="str">
        <f>VLOOKUP(A56,MultimodalConnectivity_Corridor!$A$2:$K$57,11,FALSE)</f>
        <v>High</v>
      </c>
      <c r="AE56">
        <f>VLOOKUP(A56,[2]METRICS!$AA$2:$AC$70,3,FALSE)</f>
        <v>24072.374850510489</v>
      </c>
      <c r="AG56">
        <v>1</v>
      </c>
      <c r="AH56">
        <f>VLOOKUP(A56,[2]METRICS!$AA$2:$AD$70,4,FALSE)</f>
        <v>1.8234154043428272</v>
      </c>
      <c r="AI56">
        <v>0</v>
      </c>
      <c r="AJ56">
        <v>80.129569000000004</v>
      </c>
      <c r="AK56">
        <v>6.7715360000000002</v>
      </c>
      <c r="AL56">
        <v>1.2113242376535793</v>
      </c>
      <c r="AM56">
        <v>1.085973401839599</v>
      </c>
      <c r="AN56">
        <v>0</v>
      </c>
      <c r="AO56">
        <v>1.0208713354660401</v>
      </c>
      <c r="AQ56">
        <v>333.1</v>
      </c>
      <c r="AR56">
        <v>5.7</v>
      </c>
      <c r="AS56">
        <v>7</v>
      </c>
      <c r="AT56" t="s">
        <v>29</v>
      </c>
    </row>
    <row r="57" spans="1:46" x14ac:dyDescent="0.25">
      <c r="A57" t="s">
        <v>85</v>
      </c>
      <c r="B57">
        <v>169.551014127</v>
      </c>
      <c r="C57">
        <v>2.7272963307612981E-2</v>
      </c>
      <c r="D57">
        <v>2.5525295033680541E-2</v>
      </c>
      <c r="E57">
        <v>1.2170524401588947</v>
      </c>
      <c r="G57">
        <v>1.3469530000000001</v>
      </c>
      <c r="H57">
        <v>1327.862085</v>
      </c>
      <c r="I57">
        <v>607.89157299999999</v>
      </c>
      <c r="J57" t="s">
        <v>192</v>
      </c>
      <c r="K57" t="s">
        <v>192</v>
      </c>
      <c r="L57" t="s">
        <v>191</v>
      </c>
      <c r="M57" t="s">
        <v>191</v>
      </c>
      <c r="N57" t="str">
        <f t="shared" si="0"/>
        <v>Low</v>
      </c>
      <c r="O57" t="str">
        <f t="shared" si="1"/>
        <v>Low</v>
      </c>
      <c r="P57" t="str">
        <f t="shared" si="2"/>
        <v>High</v>
      </c>
      <c r="Q57" t="str">
        <f t="shared" si="3"/>
        <v>High</v>
      </c>
      <c r="R57" t="str">
        <f t="shared" si="4"/>
        <v>Low</v>
      </c>
      <c r="S57" t="str">
        <f t="shared" si="5"/>
        <v>High</v>
      </c>
      <c r="T57" t="str">
        <f>VLOOKUP(A57,[1]R2R_N_corridors_Final50!$A$2:$AM$57,39,FALSE)</f>
        <v>Utilize_Low</v>
      </c>
      <c r="U57" t="str">
        <f>VLOOKUP(A57,[1]R2R_N_corridors_Final50!$A$2:$AO$57,41,FALSE)</f>
        <v>Utilize_Low</v>
      </c>
      <c r="V57" t="str">
        <f>VLOOKUP(A57,[1]R2R_N_corridors_Final50!$A$2:$AN$57,40,FALSE)</f>
        <v>Avoid_High</v>
      </c>
      <c r="W57" t="str">
        <f>VLOOKUP(A57,[1]R2R_N_corridors_Final50!$A$2:$AP$57,42,FALSE)</f>
        <v>Avoid_High</v>
      </c>
      <c r="X57" t="str">
        <f t="shared" si="6"/>
        <v>Low</v>
      </c>
      <c r="Y57" t="str">
        <f t="shared" si="7"/>
        <v>Low</v>
      </c>
      <c r="Z57" t="str">
        <f t="shared" si="8"/>
        <v>High</v>
      </c>
      <c r="AA57" t="str">
        <f t="shared" si="9"/>
        <v>High</v>
      </c>
      <c r="AB57" t="str">
        <f t="shared" si="10"/>
        <v>Low</v>
      </c>
      <c r="AC57" t="str">
        <f t="shared" si="11"/>
        <v>High</v>
      </c>
      <c r="AD57" t="str">
        <f>VLOOKUP(A57,MultimodalConnectivity_Corridor!$A$2:$K$57,11,FALSE)</f>
        <v>Med</v>
      </c>
      <c r="AE57">
        <f>VLOOKUP(A57,[2]METRICS!$AA$2:$AC$70,3,FALSE)</f>
        <v>38818.804171956632</v>
      </c>
      <c r="AG57">
        <v>1</v>
      </c>
      <c r="AH57">
        <f>VLOOKUP(A57,[2]METRICS!$AA$2:$AD$70,4,FALSE)</f>
        <v>10.17557</v>
      </c>
      <c r="AI57">
        <v>0</v>
      </c>
      <c r="AJ57">
        <v>78.612932000000001</v>
      </c>
      <c r="AK57">
        <v>6.5677969999999997</v>
      </c>
      <c r="AL57">
        <v>1.2670308637543597</v>
      </c>
      <c r="AM57">
        <v>1.0451208949010351</v>
      </c>
      <c r="AN57">
        <v>0</v>
      </c>
      <c r="AO57">
        <v>1.0025338464977325</v>
      </c>
      <c r="AQ57">
        <v>136.15</v>
      </c>
      <c r="AR57">
        <v>6</v>
      </c>
      <c r="AS57">
        <v>6</v>
      </c>
      <c r="AT57" t="s">
        <v>32</v>
      </c>
    </row>
    <row r="58" spans="1:46" x14ac:dyDescent="0.25">
      <c r="A58" t="s">
        <v>86</v>
      </c>
      <c r="B58">
        <v>97.141262682700003</v>
      </c>
      <c r="C58">
        <v>8.9422395694322671E-2</v>
      </c>
      <c r="D58">
        <v>0.10766483262641485</v>
      </c>
      <c r="E58">
        <v>1</v>
      </c>
      <c r="G58">
        <v>2.1254490000000001</v>
      </c>
      <c r="H58">
        <v>2391.8473290000002</v>
      </c>
      <c r="I58">
        <v>1210.894988</v>
      </c>
      <c r="J58" t="s">
        <v>188</v>
      </c>
      <c r="K58" t="s">
        <v>188</v>
      </c>
      <c r="L58" t="s">
        <v>191</v>
      </c>
      <c r="M58" t="s">
        <v>191</v>
      </c>
      <c r="N58" t="str">
        <f t="shared" si="0"/>
        <v>High</v>
      </c>
      <c r="O58" t="str">
        <f t="shared" si="1"/>
        <v>High</v>
      </c>
      <c r="P58" t="str">
        <f t="shared" si="2"/>
        <v>High</v>
      </c>
      <c r="Q58" t="str">
        <f t="shared" si="3"/>
        <v>High</v>
      </c>
      <c r="R58" t="str">
        <f t="shared" si="4"/>
        <v>High</v>
      </c>
      <c r="S58" t="str">
        <f t="shared" si="5"/>
        <v>High</v>
      </c>
      <c r="T58" t="str">
        <f>VLOOKUP(A58,[1]R2R_N_corridors_Final50!$A$2:$AM$57,39,FALSE)</f>
        <v>Avoid_Low</v>
      </c>
      <c r="U58" t="str">
        <f>VLOOKUP(A58,[1]R2R_N_corridors_Final50!$A$2:$AO$57,41,FALSE)</f>
        <v>Avoid_Low</v>
      </c>
      <c r="V58" t="str">
        <f>VLOOKUP(A58,[1]R2R_N_corridors_Final50!$A$2:$AN$57,40,FALSE)</f>
        <v>Avoid_High</v>
      </c>
      <c r="W58" t="str">
        <f>VLOOKUP(A58,[1]R2R_N_corridors_Final50!$A$2:$AP$57,42,FALSE)</f>
        <v>Avoid_High</v>
      </c>
      <c r="X58" t="str">
        <f t="shared" si="6"/>
        <v>High</v>
      </c>
      <c r="Y58" t="str">
        <f t="shared" si="7"/>
        <v>High</v>
      </c>
      <c r="Z58" t="str">
        <f t="shared" si="8"/>
        <v>High</v>
      </c>
      <c r="AA58" t="str">
        <f t="shared" si="9"/>
        <v>High</v>
      </c>
      <c r="AB58" t="str">
        <f t="shared" si="10"/>
        <v>High</v>
      </c>
      <c r="AC58" t="str">
        <f t="shared" si="11"/>
        <v>High</v>
      </c>
      <c r="AD58" t="str">
        <f>VLOOKUP(A58,MultimodalConnectivity_Corridor!$A$2:$K$57,11,FALSE)</f>
        <v>Med</v>
      </c>
      <c r="AE58">
        <f>VLOOKUP(A58,[2]METRICS!$AA$2:$AC$70,3,FALSE)</f>
        <v>9416.6644037723836</v>
      </c>
      <c r="AG58">
        <v>1</v>
      </c>
      <c r="AH58">
        <f>VLOOKUP(A58,[2]METRICS!$AA$2:$AD$70,4,FALSE)</f>
        <v>2.6114850000000001</v>
      </c>
      <c r="AI58">
        <v>0</v>
      </c>
      <c r="AJ58">
        <v>62.757091000000003</v>
      </c>
      <c r="AK58">
        <v>9.2847679999999997</v>
      </c>
      <c r="AL58">
        <v>1.0774793104304323</v>
      </c>
      <c r="AM58">
        <v>1.002343157875931</v>
      </c>
      <c r="AN58">
        <v>0</v>
      </c>
      <c r="AO58">
        <v>1</v>
      </c>
      <c r="AQ58">
        <v>178.25</v>
      </c>
      <c r="AR58">
        <v>2.2999999999999998</v>
      </c>
      <c r="AS58">
        <v>4</v>
      </c>
      <c r="AT58" t="s">
        <v>29</v>
      </c>
    </row>
  </sheetData>
  <autoFilter ref="A2:AT58" xr:uid="{B525D399-F4D5-45F0-8B82-D4C7EE7CED31}"/>
  <sortState xmlns:xlrd2="http://schemas.microsoft.com/office/spreadsheetml/2017/richdata2" ref="A3:AT58">
    <sortCondition ref="A3:A58"/>
  </sortState>
  <mergeCells count="4">
    <mergeCell ref="AI1:AO1"/>
    <mergeCell ref="AQ1:AT1"/>
    <mergeCell ref="C1:AD1"/>
    <mergeCell ref="AE1:AH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A5EAE-09CB-4AF2-AE5D-CD6A4A01B56D}">
  <dimension ref="A1:Y58"/>
  <sheetViews>
    <sheetView workbookViewId="0">
      <pane xSplit="1" ySplit="2" topLeftCell="B27" activePane="bottomRight" state="frozen"/>
      <selection pane="topRight" activeCell="B1" sqref="B1"/>
      <selection pane="bottomLeft" activeCell="A3" sqref="A3"/>
      <selection pane="bottomRight" activeCell="A48" sqref="A48"/>
    </sheetView>
  </sheetViews>
  <sheetFormatPr defaultRowHeight="15" x14ac:dyDescent="0.25"/>
  <cols>
    <col min="1" max="3" width="15" customWidth="1"/>
    <col min="4" max="4" width="17.28515625" customWidth="1"/>
    <col min="5" max="5" width="20.140625" customWidth="1"/>
    <col min="6" max="6" width="21.140625" customWidth="1"/>
    <col min="7" max="7" width="23.28515625" customWidth="1"/>
    <col min="8" max="10" width="20.5703125" customWidth="1"/>
    <col min="11" max="11" width="24.7109375" customWidth="1"/>
    <col min="12" max="13" width="15" customWidth="1"/>
    <col min="14" max="14" width="23.140625" customWidth="1"/>
    <col min="15" max="15" width="21.7109375" customWidth="1"/>
    <col min="16" max="16" width="34.5703125" customWidth="1"/>
    <col min="17" max="17" width="19.5703125" customWidth="1"/>
    <col min="18" max="18" width="20" bestFit="1" customWidth="1"/>
    <col min="19" max="19" width="20" customWidth="1"/>
    <col min="20" max="20" width="19.85546875" customWidth="1"/>
    <col min="21" max="21" width="15" customWidth="1"/>
    <col min="22" max="22" width="43.7109375" bestFit="1" customWidth="1"/>
    <col min="23" max="23" width="33.5703125" bestFit="1" customWidth="1"/>
    <col min="24" max="24" width="30.85546875" bestFit="1" customWidth="1"/>
    <col min="25" max="25" width="15.28515625" customWidth="1"/>
  </cols>
  <sheetData>
    <row r="1" spans="1:25" x14ac:dyDescent="0.25">
      <c r="C1" s="108" t="s">
        <v>0</v>
      </c>
      <c r="D1" s="108"/>
      <c r="E1" s="108"/>
      <c r="F1" s="108"/>
      <c r="G1" s="108"/>
      <c r="H1" s="108"/>
      <c r="I1" s="108"/>
      <c r="J1" s="108"/>
      <c r="K1" s="108"/>
      <c r="L1" s="108"/>
      <c r="M1" s="108" t="s">
        <v>1</v>
      </c>
      <c r="N1" s="108"/>
      <c r="O1" s="108" t="s">
        <v>2</v>
      </c>
      <c r="P1" s="108"/>
      <c r="Q1" s="108"/>
      <c r="R1" s="108"/>
      <c r="S1" s="108"/>
      <c r="T1" s="108"/>
      <c r="U1" s="108"/>
      <c r="V1" s="108" t="s">
        <v>3</v>
      </c>
      <c r="W1" s="108"/>
      <c r="X1" s="108"/>
      <c r="Y1" s="108"/>
    </row>
    <row r="2" spans="1:25" x14ac:dyDescent="0.25">
      <c r="A2" t="s">
        <v>4</v>
      </c>
      <c r="B2" t="s">
        <v>95</v>
      </c>
      <c r="C2" t="s">
        <v>5</v>
      </c>
      <c r="D2" t="s">
        <v>6</v>
      </c>
      <c r="E2" t="s">
        <v>8</v>
      </c>
      <c r="F2" t="s">
        <v>9</v>
      </c>
      <c r="G2" t="s">
        <v>10</v>
      </c>
      <c r="H2" s="2" t="s">
        <v>180</v>
      </c>
      <c r="I2" s="2" t="s">
        <v>181</v>
      </c>
      <c r="J2" s="2" t="s">
        <v>183</v>
      </c>
      <c r="K2" s="2" t="s">
        <v>185</v>
      </c>
      <c r="L2" t="s">
        <v>87</v>
      </c>
      <c r="M2" s="2" t="s">
        <v>94</v>
      </c>
      <c r="N2" s="2" t="s">
        <v>93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24</v>
      </c>
      <c r="W2" t="s">
        <v>25</v>
      </c>
      <c r="X2" t="s">
        <v>26</v>
      </c>
      <c r="Y2" t="s">
        <v>223</v>
      </c>
    </row>
    <row r="3" spans="1:25" x14ac:dyDescent="0.25">
      <c r="A3" t="s">
        <v>28</v>
      </c>
      <c r="B3">
        <v>12.5623252127999</v>
      </c>
      <c r="C3">
        <v>0</v>
      </c>
      <c r="D3">
        <v>0</v>
      </c>
      <c r="E3">
        <v>0</v>
      </c>
      <c r="F3">
        <v>0</v>
      </c>
      <c r="G3">
        <v>0</v>
      </c>
      <c r="H3" t="s">
        <v>193</v>
      </c>
      <c r="I3" t="s">
        <v>193</v>
      </c>
      <c r="J3" t="s">
        <v>193</v>
      </c>
      <c r="K3" t="s">
        <v>193</v>
      </c>
      <c r="L3" t="str">
        <f>VLOOKUP(A3,MultimodalConnectivity_Corridor!$A$2:$K$57,11,FALSE)</f>
        <v>Low</v>
      </c>
      <c r="M3">
        <f>VLOOKUP(A3,[2]METRICS!$AA$2:$AC$70,3,FALSE)</f>
        <v>0</v>
      </c>
      <c r="N3">
        <f>VLOOKUP(A3,[2]METRICS!$AA$2:$AD$70,4,FALSE)</f>
        <v>0</v>
      </c>
      <c r="O3">
        <v>0</v>
      </c>
      <c r="P3">
        <v>100</v>
      </c>
      <c r="Q3">
        <v>0</v>
      </c>
      <c r="R3">
        <v>1</v>
      </c>
      <c r="S3">
        <v>2.5482162263807573</v>
      </c>
      <c r="T3">
        <v>0</v>
      </c>
      <c r="U3">
        <v>1</v>
      </c>
      <c r="V3">
        <v>209</v>
      </c>
      <c r="W3">
        <v>1.4</v>
      </c>
      <c r="X3">
        <v>2</v>
      </c>
      <c r="Y3" t="s">
        <v>30</v>
      </c>
    </row>
    <row r="4" spans="1:25" x14ac:dyDescent="0.25">
      <c r="A4" t="s">
        <v>31</v>
      </c>
      <c r="B4">
        <v>19.5548964086999</v>
      </c>
      <c r="C4">
        <v>8.9692533258034432E-2</v>
      </c>
      <c r="D4">
        <v>0.11675095947231978</v>
      </c>
      <c r="E4">
        <v>0</v>
      </c>
      <c r="F4">
        <v>0</v>
      </c>
      <c r="G4">
        <v>0</v>
      </c>
      <c r="H4" t="s">
        <v>32</v>
      </c>
      <c r="I4" t="s">
        <v>32</v>
      </c>
      <c r="J4" t="s">
        <v>32</v>
      </c>
      <c r="K4" t="s">
        <v>32</v>
      </c>
      <c r="L4" t="str">
        <f>VLOOKUP(A4,MultimodalConnectivity_Corridor!$A$2:$K$57,11,FALSE)</f>
        <v>Low</v>
      </c>
      <c r="M4">
        <f>VLOOKUP(A4,[2]METRICS!$AA$2:$AC$70,3,FALSE)</f>
        <v>8479.4643928007117</v>
      </c>
      <c r="N4">
        <f>VLOOKUP(A4,[2]METRICS!$AA$2:$AD$70,4,FALSE)</f>
        <v>0</v>
      </c>
      <c r="O4">
        <v>0</v>
      </c>
      <c r="P4">
        <v>89.065645000000004</v>
      </c>
      <c r="Q4">
        <v>6.6052629999999999</v>
      </c>
      <c r="R4">
        <v>1.1051688906493053</v>
      </c>
      <c r="S4">
        <v>1.0008768271239319</v>
      </c>
      <c r="T4">
        <v>0</v>
      </c>
      <c r="U4">
        <v>1.0499295687825763</v>
      </c>
      <c r="V4">
        <v>101.45</v>
      </c>
      <c r="W4">
        <v>0.2</v>
      </c>
      <c r="X4">
        <v>2</v>
      </c>
      <c r="Y4" t="s">
        <v>193</v>
      </c>
    </row>
    <row r="5" spans="1:25" x14ac:dyDescent="0.25">
      <c r="A5" t="s">
        <v>33</v>
      </c>
      <c r="B5">
        <v>13.9860489811</v>
      </c>
      <c r="C5">
        <v>4.5740773432559029E-2</v>
      </c>
      <c r="D5">
        <v>6.815768019365237E-2</v>
      </c>
      <c r="E5">
        <v>0</v>
      </c>
      <c r="F5">
        <v>0</v>
      </c>
      <c r="G5">
        <v>0</v>
      </c>
      <c r="H5" t="s">
        <v>30</v>
      </c>
      <c r="I5" t="s">
        <v>30</v>
      </c>
      <c r="J5" t="s">
        <v>30</v>
      </c>
      <c r="K5" t="s">
        <v>30</v>
      </c>
      <c r="L5" t="str">
        <f>VLOOKUP(A5,MultimodalConnectivity_Corridor!$A$2:$K$57,11,FALSE)</f>
        <v>Low</v>
      </c>
      <c r="M5">
        <f>VLOOKUP(A5,[2]METRICS!$AA$2:$AC$70,3,FALSE)</f>
        <v>8375.8624083221421</v>
      </c>
      <c r="N5">
        <f>VLOOKUP(A5,[2]METRICS!$AA$2:$AD$70,4,FALSE)</f>
        <v>1.0102E-2</v>
      </c>
      <c r="O5">
        <v>0</v>
      </c>
      <c r="P5">
        <v>100</v>
      </c>
      <c r="Q5">
        <v>3</v>
      </c>
      <c r="R5">
        <v>1.0780987074713797</v>
      </c>
      <c r="S5">
        <v>1.0006468854533763</v>
      </c>
      <c r="T5">
        <v>0</v>
      </c>
      <c r="U5">
        <v>1</v>
      </c>
      <c r="V5">
        <v>516.1</v>
      </c>
      <c r="W5">
        <v>5.9</v>
      </c>
      <c r="X5">
        <v>3</v>
      </c>
      <c r="Y5" t="s">
        <v>30</v>
      </c>
    </row>
    <row r="6" spans="1:25" x14ac:dyDescent="0.25">
      <c r="A6" t="s">
        <v>34</v>
      </c>
      <c r="B6">
        <v>97.643793810199895</v>
      </c>
      <c r="C6">
        <v>4.6073154235638535E-2</v>
      </c>
      <c r="D6">
        <v>4.2790413811721925E-2</v>
      </c>
      <c r="E6">
        <v>0</v>
      </c>
      <c r="F6">
        <v>0</v>
      </c>
      <c r="G6">
        <v>0</v>
      </c>
      <c r="H6" t="s">
        <v>30</v>
      </c>
      <c r="I6" t="s">
        <v>32</v>
      </c>
      <c r="J6" t="s">
        <v>30</v>
      </c>
      <c r="K6" t="s">
        <v>32</v>
      </c>
      <c r="L6" t="str">
        <f>VLOOKUP(A6,MultimodalConnectivity_Corridor!$A$2:$K$57,11,FALSE)</f>
        <v>Low</v>
      </c>
      <c r="M6">
        <f>VLOOKUP(A6,[2]METRICS!$AA$2:$AC$70,3,FALSE)</f>
        <v>8709.6247791800379</v>
      </c>
      <c r="N6">
        <f>VLOOKUP(A6,[2]METRICS!$AA$2:$AD$70,4,FALSE)</f>
        <v>0</v>
      </c>
      <c r="O6">
        <v>0</v>
      </c>
      <c r="P6">
        <v>99.089982000000006</v>
      </c>
      <c r="Q6">
        <v>2.917808</v>
      </c>
      <c r="R6">
        <v>1.9035960857432681</v>
      </c>
      <c r="S6">
        <v>1.0224717432033879</v>
      </c>
      <c r="T6">
        <v>0</v>
      </c>
      <c r="U6">
        <v>1</v>
      </c>
      <c r="V6">
        <v>356.9</v>
      </c>
      <c r="W6">
        <v>1.3</v>
      </c>
      <c r="X6">
        <v>9</v>
      </c>
      <c r="Y6" t="s">
        <v>193</v>
      </c>
    </row>
    <row r="7" spans="1:25" x14ac:dyDescent="0.25">
      <c r="A7" t="s">
        <v>35</v>
      </c>
      <c r="B7">
        <v>76.826502077599898</v>
      </c>
      <c r="C7">
        <v>2.3055080594762547E-2</v>
      </c>
      <c r="D7">
        <v>2.3518185525741257E-2</v>
      </c>
      <c r="E7">
        <v>0</v>
      </c>
      <c r="F7">
        <v>0</v>
      </c>
      <c r="G7">
        <v>0</v>
      </c>
      <c r="H7" t="s">
        <v>30</v>
      </c>
      <c r="I7" t="s">
        <v>30</v>
      </c>
      <c r="J7" t="s">
        <v>30</v>
      </c>
      <c r="K7" t="s">
        <v>30</v>
      </c>
      <c r="L7" t="str">
        <f>VLOOKUP(A7,MultimodalConnectivity_Corridor!$A$2:$K$57,11,FALSE)</f>
        <v>Low</v>
      </c>
      <c r="M7">
        <f>VLOOKUP(A7,[2]METRICS!$AA$2:$AC$70,3,FALSE)</f>
        <v>11762.504214589699</v>
      </c>
      <c r="N7">
        <f>VLOOKUP(A7,[2]METRICS!$AA$2:$AD$70,4,FALSE)</f>
        <v>6.9096669999999998</v>
      </c>
      <c r="O7">
        <v>0</v>
      </c>
      <c r="P7">
        <v>100</v>
      </c>
      <c r="Q7">
        <v>2.3098589999999999</v>
      </c>
      <c r="R7">
        <v>1.1376486086984923</v>
      </c>
      <c r="S7">
        <v>1.0216354076709926</v>
      </c>
      <c r="T7">
        <v>0</v>
      </c>
      <c r="U7">
        <v>1</v>
      </c>
      <c r="V7">
        <v>419.65</v>
      </c>
      <c r="W7">
        <v>2.1</v>
      </c>
      <c r="X7">
        <v>2</v>
      </c>
      <c r="Y7" t="s">
        <v>193</v>
      </c>
    </row>
    <row r="8" spans="1:25" x14ac:dyDescent="0.25">
      <c r="A8" t="s">
        <v>36</v>
      </c>
      <c r="B8">
        <v>3.4067871411100001</v>
      </c>
      <c r="C8">
        <v>0</v>
      </c>
      <c r="D8">
        <v>0</v>
      </c>
      <c r="E8">
        <v>0</v>
      </c>
      <c r="F8">
        <v>0</v>
      </c>
      <c r="G8">
        <v>0</v>
      </c>
      <c r="H8" t="s">
        <v>193</v>
      </c>
      <c r="I8" t="s">
        <v>193</v>
      </c>
      <c r="J8" t="s">
        <v>193</v>
      </c>
      <c r="K8" t="s">
        <v>193</v>
      </c>
      <c r="L8" t="str">
        <f>VLOOKUP(A8,MultimodalConnectivity_Corridor!$A$2:$K$57,11,FALSE)</f>
        <v>Low</v>
      </c>
      <c r="M8">
        <f>VLOOKUP(A8,[2]METRICS!$AA$2:$AC$70,3,FALSE)</f>
        <v>30777.863990427129</v>
      </c>
      <c r="N8">
        <f>VLOOKUP(A8,[2]METRICS!$AA$2:$AD$70,4,FALSE)</f>
        <v>0</v>
      </c>
      <c r="O8">
        <v>0</v>
      </c>
      <c r="P8">
        <v>100</v>
      </c>
      <c r="Q8">
        <v>7.6</v>
      </c>
      <c r="R8">
        <v>1</v>
      </c>
      <c r="S8">
        <v>1.0149522237183124</v>
      </c>
      <c r="T8">
        <v>0</v>
      </c>
      <c r="U8">
        <v>1</v>
      </c>
      <c r="V8">
        <v>223.45</v>
      </c>
      <c r="W8">
        <v>0.8</v>
      </c>
      <c r="X8">
        <v>0</v>
      </c>
      <c r="Y8" t="s">
        <v>193</v>
      </c>
    </row>
    <row r="9" spans="1:25" x14ac:dyDescent="0.25">
      <c r="A9" t="s">
        <v>37</v>
      </c>
      <c r="B9">
        <v>27.275757023800001</v>
      </c>
      <c r="C9">
        <v>6.9433941812591729E-2</v>
      </c>
      <c r="D9">
        <v>8.3122253320184553E-2</v>
      </c>
      <c r="E9">
        <v>0</v>
      </c>
      <c r="F9">
        <v>0</v>
      </c>
      <c r="G9">
        <v>0</v>
      </c>
      <c r="H9" t="s">
        <v>30</v>
      </c>
      <c r="I9" t="s">
        <v>30</v>
      </c>
      <c r="J9" t="s">
        <v>30</v>
      </c>
      <c r="K9" t="s">
        <v>30</v>
      </c>
      <c r="L9" t="str">
        <f>VLOOKUP(A9,MultimodalConnectivity_Corridor!$A$2:$K$57,11,FALSE)</f>
        <v>Low</v>
      </c>
      <c r="M9">
        <f>VLOOKUP(A9,[2]METRICS!$AA$2:$AC$70,3,FALSE)</f>
        <v>629666.78271556285</v>
      </c>
      <c r="N9">
        <f>VLOOKUP(A9,[2]METRICS!$AA$2:$AD$70,4,FALSE)</f>
        <v>0</v>
      </c>
      <c r="O9">
        <v>0</v>
      </c>
      <c r="P9">
        <v>99.978005999999993</v>
      </c>
      <c r="Q9">
        <v>6.9259259999999996</v>
      </c>
      <c r="R9">
        <v>1</v>
      </c>
      <c r="S9">
        <v>1</v>
      </c>
      <c r="T9">
        <v>0</v>
      </c>
      <c r="U9">
        <v>1</v>
      </c>
      <c r="V9">
        <v>525.1</v>
      </c>
      <c r="W9">
        <v>5.2</v>
      </c>
      <c r="X9">
        <v>3</v>
      </c>
      <c r="Y9" t="s">
        <v>30</v>
      </c>
    </row>
    <row r="10" spans="1:25" x14ac:dyDescent="0.25">
      <c r="A10" t="s">
        <v>38</v>
      </c>
      <c r="B10">
        <v>60.320465667299899</v>
      </c>
      <c r="C10">
        <v>6.979895661152026E-2</v>
      </c>
      <c r="D10">
        <v>8.1901682601894926E-2</v>
      </c>
      <c r="E10">
        <v>0</v>
      </c>
      <c r="F10">
        <v>0</v>
      </c>
      <c r="G10">
        <v>0</v>
      </c>
      <c r="H10" t="s">
        <v>32</v>
      </c>
      <c r="I10" t="s">
        <v>32</v>
      </c>
      <c r="J10" t="s">
        <v>30</v>
      </c>
      <c r="K10" t="s">
        <v>30</v>
      </c>
      <c r="L10" t="str">
        <f>VLOOKUP(A10,MultimodalConnectivity_Corridor!$A$2:$K$57,11,FALSE)</f>
        <v>Med</v>
      </c>
      <c r="M10">
        <f>VLOOKUP(A10,[2]METRICS!$AA$2:$AC$70,3,FALSE)</f>
        <v>17975.935296446409</v>
      </c>
      <c r="N10">
        <f>VLOOKUP(A10,[2]METRICS!$AA$2:$AD$70,4,FALSE)</f>
        <v>0</v>
      </c>
      <c r="O10">
        <v>0</v>
      </c>
      <c r="P10">
        <v>92.700379999999996</v>
      </c>
      <c r="Q10">
        <v>7.084746</v>
      </c>
      <c r="R10">
        <v>1.9831411145675404</v>
      </c>
      <c r="S10">
        <v>1.0040727752722136</v>
      </c>
      <c r="T10">
        <v>0</v>
      </c>
      <c r="U10">
        <v>1</v>
      </c>
      <c r="V10">
        <v>447.4</v>
      </c>
      <c r="W10">
        <v>3.1</v>
      </c>
      <c r="X10">
        <v>3</v>
      </c>
      <c r="Y10" t="s">
        <v>32</v>
      </c>
    </row>
    <row r="11" spans="1:25" x14ac:dyDescent="0.25">
      <c r="A11" t="s">
        <v>39</v>
      </c>
      <c r="B11">
        <v>20.004861967899899</v>
      </c>
      <c r="C11">
        <v>5.3623240278391576E-2</v>
      </c>
      <c r="D11">
        <v>8.0120369248574297E-2</v>
      </c>
      <c r="E11">
        <v>0</v>
      </c>
      <c r="F11">
        <v>0</v>
      </c>
      <c r="G11">
        <v>0</v>
      </c>
      <c r="H11" t="s">
        <v>30</v>
      </c>
      <c r="I11" t="s">
        <v>30</v>
      </c>
      <c r="J11" t="s">
        <v>30</v>
      </c>
      <c r="K11" t="s">
        <v>30</v>
      </c>
      <c r="L11" t="str">
        <f>VLOOKUP(A11,MultimodalConnectivity_Corridor!$A$2:$K$57,11,FALSE)</f>
        <v>Low</v>
      </c>
      <c r="M11">
        <f>VLOOKUP(A11,[2]METRICS!$AA$2:$AC$70,3,FALSE)</f>
        <v>522528.69162565022</v>
      </c>
      <c r="N11">
        <f>VLOOKUP(A11,[2]METRICS!$AA$2:$AD$70,4,FALSE)</f>
        <v>0</v>
      </c>
      <c r="O11">
        <v>0</v>
      </c>
      <c r="P11">
        <v>84.658698000000001</v>
      </c>
      <c r="Q11">
        <v>7.6</v>
      </c>
      <c r="R11">
        <v>1.2305778631460123</v>
      </c>
      <c r="S11">
        <v>1.0077614194149982</v>
      </c>
      <c r="T11">
        <v>0</v>
      </c>
      <c r="U11">
        <v>1</v>
      </c>
      <c r="V11">
        <v>575.04999999999995</v>
      </c>
      <c r="W11">
        <v>8.6</v>
      </c>
      <c r="X11">
        <v>3</v>
      </c>
      <c r="Y11" t="s">
        <v>30</v>
      </c>
    </row>
    <row r="12" spans="1:25" x14ac:dyDescent="0.25">
      <c r="A12" t="s">
        <v>40</v>
      </c>
      <c r="B12">
        <v>76.142924098199899</v>
      </c>
      <c r="C12">
        <v>3.7508965305480136E-3</v>
      </c>
      <c r="D12">
        <v>4.214180811612905E-3</v>
      </c>
      <c r="E12">
        <v>0</v>
      </c>
      <c r="F12">
        <v>0</v>
      </c>
      <c r="G12">
        <v>0</v>
      </c>
      <c r="H12" t="s">
        <v>30</v>
      </c>
      <c r="I12" t="s">
        <v>30</v>
      </c>
      <c r="J12" t="s">
        <v>30</v>
      </c>
      <c r="K12" t="s">
        <v>30</v>
      </c>
      <c r="L12" t="str">
        <f>VLOOKUP(A12,MultimodalConnectivity_Corridor!$A$2:$K$57,11,FALSE)</f>
        <v>Med</v>
      </c>
      <c r="M12">
        <f>VLOOKUP(A12,[2]METRICS!$AA$2:$AC$70,3,FALSE)</f>
        <v>27659.271267732205</v>
      </c>
      <c r="N12">
        <f>VLOOKUP(A12,[2]METRICS!$AA$2:$AD$70,4,FALSE)</f>
        <v>0</v>
      </c>
      <c r="O12">
        <v>0</v>
      </c>
      <c r="P12">
        <v>100</v>
      </c>
      <c r="Q12">
        <v>8.4864859999999993</v>
      </c>
      <c r="R12">
        <v>1.530100299989096</v>
      </c>
      <c r="S12">
        <v>1</v>
      </c>
      <c r="T12">
        <v>0</v>
      </c>
      <c r="U12">
        <v>1</v>
      </c>
      <c r="V12">
        <v>535.70000000000005</v>
      </c>
      <c r="W12">
        <v>3.7</v>
      </c>
      <c r="X12">
        <v>4</v>
      </c>
      <c r="Y12" t="s">
        <v>193</v>
      </c>
    </row>
    <row r="13" spans="1:25" x14ac:dyDescent="0.25">
      <c r="A13" t="s">
        <v>41</v>
      </c>
      <c r="B13">
        <v>41.656805026699899</v>
      </c>
      <c r="C13">
        <v>0.11145303878197098</v>
      </c>
      <c r="D13">
        <v>0.12890410248082559</v>
      </c>
      <c r="E13">
        <v>0</v>
      </c>
      <c r="F13">
        <v>0</v>
      </c>
      <c r="G13">
        <v>0</v>
      </c>
      <c r="H13" t="s">
        <v>30</v>
      </c>
      <c r="I13" t="s">
        <v>32</v>
      </c>
      <c r="J13" t="s">
        <v>30</v>
      </c>
      <c r="K13" t="s">
        <v>32</v>
      </c>
      <c r="L13" t="str">
        <f>VLOOKUP(A13,MultimodalConnectivity_Corridor!$A$2:$K$57,11,FALSE)</f>
        <v>Low</v>
      </c>
      <c r="M13">
        <f>VLOOKUP(A13,[2]METRICS!$AA$2:$AC$70,3,FALSE)</f>
        <v>64.758973685761944</v>
      </c>
      <c r="N13">
        <f>VLOOKUP(A13,[2]METRICS!$AA$2:$AD$70,4,FALSE)</f>
        <v>0</v>
      </c>
      <c r="O13">
        <v>0</v>
      </c>
      <c r="P13">
        <v>87.052458999999999</v>
      </c>
      <c r="Q13">
        <v>5.2380950000000004</v>
      </c>
      <c r="R13">
        <v>1.5105738962804609</v>
      </c>
      <c r="S13">
        <v>1.5490925168972316</v>
      </c>
      <c r="T13">
        <v>0</v>
      </c>
      <c r="U13">
        <v>1</v>
      </c>
      <c r="V13">
        <v>122.5</v>
      </c>
      <c r="W13">
        <v>3.2</v>
      </c>
      <c r="X13">
        <v>3</v>
      </c>
      <c r="Y13" t="s">
        <v>193</v>
      </c>
    </row>
    <row r="14" spans="1:25" x14ac:dyDescent="0.25">
      <c r="A14" t="s">
        <v>42</v>
      </c>
      <c r="B14">
        <v>18.352812943499899</v>
      </c>
      <c r="C14">
        <v>3.1123691277423211E-2</v>
      </c>
      <c r="D14">
        <v>3.0283542555824054E-2</v>
      </c>
      <c r="E14">
        <v>0</v>
      </c>
      <c r="F14">
        <v>43318.667211</v>
      </c>
      <c r="G14">
        <v>0</v>
      </c>
      <c r="H14" t="s">
        <v>30</v>
      </c>
      <c r="I14" t="s">
        <v>32</v>
      </c>
      <c r="J14" t="s">
        <v>30</v>
      </c>
      <c r="K14" t="s">
        <v>32</v>
      </c>
      <c r="L14" t="str">
        <f>VLOOKUP(A14,MultimodalConnectivity_Corridor!$A$2:$K$57,11,FALSE)</f>
        <v>High</v>
      </c>
      <c r="M14">
        <f>VLOOKUP(A14,[2]METRICS!$AA$2:$AC$70,3,FALSE)</f>
        <v>1010.1163967661846</v>
      </c>
      <c r="N14">
        <f>VLOOKUP(A14,[2]METRICS!$AA$2:$AD$70,4,FALSE)</f>
        <v>0</v>
      </c>
      <c r="O14">
        <v>0</v>
      </c>
      <c r="P14">
        <v>86.868532000000002</v>
      </c>
      <c r="Q14">
        <v>3</v>
      </c>
      <c r="R14">
        <v>1</v>
      </c>
      <c r="S14">
        <v>1</v>
      </c>
      <c r="T14">
        <v>0</v>
      </c>
      <c r="U14">
        <v>1</v>
      </c>
      <c r="V14">
        <v>331.65</v>
      </c>
      <c r="W14">
        <v>4.0999999999999996</v>
      </c>
      <c r="X14">
        <v>5</v>
      </c>
      <c r="Y14" t="s">
        <v>32</v>
      </c>
    </row>
    <row r="15" spans="1:25" x14ac:dyDescent="0.25">
      <c r="A15" t="s">
        <v>43</v>
      </c>
      <c r="B15">
        <v>44.268066668400003</v>
      </c>
      <c r="C15">
        <v>5.5888397241173416E-3</v>
      </c>
      <c r="D15">
        <v>7.2605217757935048E-3</v>
      </c>
      <c r="E15">
        <v>1.307782</v>
      </c>
      <c r="F15">
        <v>2604.3583610000001</v>
      </c>
      <c r="G15">
        <v>1223.9787590000001</v>
      </c>
      <c r="H15" t="s">
        <v>30</v>
      </c>
      <c r="I15" t="s">
        <v>30</v>
      </c>
      <c r="J15" t="s">
        <v>30</v>
      </c>
      <c r="K15" t="s">
        <v>30</v>
      </c>
      <c r="L15" t="str">
        <f>VLOOKUP(A15,MultimodalConnectivity_Corridor!$A$2:$K$57,11,FALSE)</f>
        <v>Low</v>
      </c>
      <c r="M15">
        <f>VLOOKUP(A15,[2]METRICS!$AA$2:$AC$70,3,FALSE)</f>
        <v>17.943992992896419</v>
      </c>
      <c r="N15">
        <f>VLOOKUP(A15,[2]METRICS!$AA$2:$AD$70,4,FALSE)</f>
        <v>0</v>
      </c>
      <c r="O15">
        <v>0</v>
      </c>
      <c r="P15">
        <v>99.603166000000002</v>
      </c>
      <c r="Q15">
        <v>4.8611110000000002</v>
      </c>
      <c r="R15">
        <v>1.3242109158128448</v>
      </c>
      <c r="S15">
        <v>1.0441970087099122</v>
      </c>
      <c r="T15">
        <v>0</v>
      </c>
      <c r="U15">
        <v>1</v>
      </c>
      <c r="V15">
        <v>190.05</v>
      </c>
      <c r="W15">
        <v>2</v>
      </c>
      <c r="X15">
        <v>3</v>
      </c>
      <c r="Y15" t="s">
        <v>30</v>
      </c>
    </row>
    <row r="16" spans="1:25" x14ac:dyDescent="0.25">
      <c r="A16" t="s">
        <v>44</v>
      </c>
      <c r="B16">
        <v>4.2164203195200001</v>
      </c>
      <c r="C16">
        <v>0.1053247429769846</v>
      </c>
      <c r="D16">
        <v>0.19506693489557908</v>
      </c>
      <c r="E16">
        <v>0</v>
      </c>
      <c r="F16">
        <v>0</v>
      </c>
      <c r="G16">
        <v>0</v>
      </c>
      <c r="H16" t="s">
        <v>30</v>
      </c>
      <c r="I16" t="s">
        <v>30</v>
      </c>
      <c r="J16" t="s">
        <v>30</v>
      </c>
      <c r="K16" t="s">
        <v>32</v>
      </c>
      <c r="L16" t="str">
        <f>VLOOKUP(A16,MultimodalConnectivity_Corridor!$A$2:$K$57,11,FALSE)</f>
        <v>Low</v>
      </c>
      <c r="M16">
        <f>VLOOKUP(A16,[2]METRICS!$AA$2:$AC$70,3,FALSE)</f>
        <v>18344.290203630469</v>
      </c>
      <c r="N16">
        <f>VLOOKUP(A16,[2]METRICS!$AA$2:$AD$70,4,FALSE)</f>
        <v>0</v>
      </c>
      <c r="O16">
        <v>0</v>
      </c>
      <c r="P16">
        <v>100</v>
      </c>
      <c r="Q16">
        <v>4.7272730000000003</v>
      </c>
      <c r="R16">
        <v>1</v>
      </c>
      <c r="S16">
        <v>1</v>
      </c>
      <c r="T16">
        <v>0</v>
      </c>
      <c r="U16">
        <v>1</v>
      </c>
      <c r="V16">
        <v>257.3</v>
      </c>
      <c r="W16">
        <v>3.7</v>
      </c>
      <c r="X16">
        <v>3</v>
      </c>
      <c r="Y16" t="s">
        <v>32</v>
      </c>
    </row>
    <row r="17" spans="1:25" x14ac:dyDescent="0.25">
      <c r="A17" t="s">
        <v>45</v>
      </c>
      <c r="B17">
        <v>26.949391069800001</v>
      </c>
      <c r="C17">
        <v>1.3426868696235213E-2</v>
      </c>
      <c r="D17">
        <v>1.5352884145530614E-2</v>
      </c>
      <c r="E17">
        <v>0</v>
      </c>
      <c r="F17">
        <v>0</v>
      </c>
      <c r="G17">
        <v>0</v>
      </c>
      <c r="H17" t="s">
        <v>32</v>
      </c>
      <c r="I17" t="s">
        <v>32</v>
      </c>
      <c r="J17" t="s">
        <v>30</v>
      </c>
      <c r="K17" t="s">
        <v>32</v>
      </c>
      <c r="L17" t="str">
        <f>VLOOKUP(A17,MultimodalConnectivity_Corridor!$A$2:$K$57,11,FALSE)</f>
        <v>Low</v>
      </c>
      <c r="M17">
        <f>VLOOKUP(A17,[2]METRICS!$AA$2:$AC$70,3,FALSE)</f>
        <v>0</v>
      </c>
      <c r="N17">
        <f>VLOOKUP(A17,[2]METRICS!$AA$2:$AD$70,4,FALSE)</f>
        <v>0</v>
      </c>
      <c r="O17">
        <v>0</v>
      </c>
      <c r="P17">
        <v>100</v>
      </c>
      <c r="Q17">
        <v>3</v>
      </c>
      <c r="R17">
        <v>1</v>
      </c>
      <c r="S17">
        <v>1.0005940732765195</v>
      </c>
      <c r="T17">
        <v>0</v>
      </c>
      <c r="U17">
        <v>1</v>
      </c>
      <c r="V17">
        <v>165.95</v>
      </c>
      <c r="W17">
        <v>2.2000000000000002</v>
      </c>
      <c r="X17">
        <v>3</v>
      </c>
      <c r="Y17" t="s">
        <v>193</v>
      </c>
    </row>
    <row r="18" spans="1:25" x14ac:dyDescent="0.25">
      <c r="A18" t="s">
        <v>46</v>
      </c>
      <c r="B18">
        <v>4.1639821022800003</v>
      </c>
      <c r="C18">
        <v>0.22073790766840415</v>
      </c>
      <c r="D18">
        <v>0.48472330989417006</v>
      </c>
      <c r="E18">
        <v>0</v>
      </c>
      <c r="F18">
        <v>0</v>
      </c>
      <c r="G18">
        <v>0</v>
      </c>
      <c r="H18" t="s">
        <v>30</v>
      </c>
      <c r="I18" t="s">
        <v>30</v>
      </c>
      <c r="J18" t="s">
        <v>30</v>
      </c>
      <c r="K18" t="s">
        <v>30</v>
      </c>
      <c r="L18" t="str">
        <f>VLOOKUP(A18,MultimodalConnectivity_Corridor!$A$2:$K$57,11,FALSE)</f>
        <v>Med</v>
      </c>
      <c r="M18">
        <f>VLOOKUP(A18,[2]METRICS!$AA$2:$AC$70,3,FALSE)</f>
        <v>270.13233497046156</v>
      </c>
      <c r="N18">
        <f>VLOOKUP(A18,[2]METRICS!$AA$2:$AD$70,4,FALSE)</f>
        <v>0.192966</v>
      </c>
      <c r="O18">
        <v>0</v>
      </c>
      <c r="P18">
        <v>100</v>
      </c>
      <c r="Q18">
        <v>10</v>
      </c>
      <c r="R18">
        <v>1.014465829026125</v>
      </c>
      <c r="S18">
        <v>1.0980720284564554</v>
      </c>
      <c r="T18">
        <v>0</v>
      </c>
      <c r="U18">
        <v>1</v>
      </c>
      <c r="V18">
        <v>180.55</v>
      </c>
      <c r="W18">
        <v>7.9</v>
      </c>
      <c r="X18">
        <v>3</v>
      </c>
      <c r="Y18" t="s">
        <v>30</v>
      </c>
    </row>
    <row r="19" spans="1:25" x14ac:dyDescent="0.25">
      <c r="A19" t="s">
        <v>47</v>
      </c>
      <c r="B19">
        <v>42.291837041199898</v>
      </c>
      <c r="C19">
        <v>5.8906661092254613E-3</v>
      </c>
      <c r="D19">
        <v>9.3407102986994249E-3</v>
      </c>
      <c r="E19">
        <v>0</v>
      </c>
      <c r="F19">
        <v>0</v>
      </c>
      <c r="G19">
        <v>0</v>
      </c>
      <c r="H19" t="s">
        <v>30</v>
      </c>
      <c r="I19" t="s">
        <v>32</v>
      </c>
      <c r="J19" t="s">
        <v>30</v>
      </c>
      <c r="K19" t="s">
        <v>30</v>
      </c>
      <c r="L19" t="str">
        <f>VLOOKUP(A19,MultimodalConnectivity_Corridor!$A$2:$K$57,11,FALSE)</f>
        <v>Low</v>
      </c>
      <c r="M19">
        <f>VLOOKUP(A19,[2]METRICS!$AA$2:$AC$70,3,FALSE)</f>
        <v>280.43993590001998</v>
      </c>
      <c r="N19">
        <f>VLOOKUP(A19,[2]METRICS!$AA$2:$AD$70,4,FALSE)</f>
        <v>0</v>
      </c>
      <c r="O19">
        <v>0</v>
      </c>
      <c r="P19">
        <v>100</v>
      </c>
      <c r="Q19">
        <v>4</v>
      </c>
      <c r="R19">
        <v>1.0170157180115333</v>
      </c>
      <c r="S19">
        <v>1.0047707432781856</v>
      </c>
      <c r="T19">
        <v>0</v>
      </c>
      <c r="U19">
        <v>1</v>
      </c>
      <c r="V19">
        <v>81</v>
      </c>
      <c r="W19">
        <v>0.4</v>
      </c>
      <c r="X19">
        <v>7</v>
      </c>
      <c r="Y19" t="s">
        <v>32</v>
      </c>
    </row>
    <row r="20" spans="1:25" x14ac:dyDescent="0.25">
      <c r="A20" t="s">
        <v>48</v>
      </c>
      <c r="B20">
        <v>182.860403915999</v>
      </c>
      <c r="C20">
        <v>8.5703684687255144E-2</v>
      </c>
      <c r="D20">
        <v>0.10419119615742069</v>
      </c>
      <c r="E20">
        <v>0</v>
      </c>
      <c r="F20">
        <v>0</v>
      </c>
      <c r="G20">
        <v>0</v>
      </c>
      <c r="H20" t="s">
        <v>30</v>
      </c>
      <c r="I20" t="s">
        <v>30</v>
      </c>
      <c r="J20" t="s">
        <v>30</v>
      </c>
      <c r="K20" t="s">
        <v>30</v>
      </c>
      <c r="L20" t="str">
        <f>VLOOKUP(A20,MultimodalConnectivity_Corridor!$A$2:$K$57,11,FALSE)</f>
        <v>Med</v>
      </c>
      <c r="M20">
        <f>VLOOKUP(A20,[2]METRICS!$AA$2:$AC$70,3,FALSE)</f>
        <v>24891.867508822459</v>
      </c>
      <c r="N20">
        <f>VLOOKUP(A20,[2]METRICS!$AA$2:$AD$70,4,FALSE)</f>
        <v>2.4782749007214462</v>
      </c>
      <c r="O20">
        <v>0</v>
      </c>
      <c r="P20">
        <v>84.398865999999998</v>
      </c>
      <c r="Q20">
        <v>7.5944440000000002</v>
      </c>
      <c r="R20">
        <v>1.1056034855278669</v>
      </c>
      <c r="S20">
        <v>1.0079271097858364</v>
      </c>
      <c r="T20">
        <v>0</v>
      </c>
      <c r="U20">
        <v>1</v>
      </c>
      <c r="V20">
        <v>740.7</v>
      </c>
      <c r="W20">
        <v>5.5</v>
      </c>
      <c r="X20">
        <v>11</v>
      </c>
      <c r="Y20" t="s">
        <v>193</v>
      </c>
    </row>
    <row r="21" spans="1:25" x14ac:dyDescent="0.25">
      <c r="A21" t="s">
        <v>49</v>
      </c>
      <c r="B21">
        <v>20.2626475462</v>
      </c>
      <c r="C21">
        <v>0.45445102239366997</v>
      </c>
      <c r="D21">
        <v>0.41326673839554945</v>
      </c>
      <c r="E21">
        <v>0</v>
      </c>
      <c r="F21">
        <v>0</v>
      </c>
      <c r="G21">
        <v>0</v>
      </c>
      <c r="H21" t="s">
        <v>30</v>
      </c>
      <c r="I21" t="s">
        <v>30</v>
      </c>
      <c r="J21" t="s">
        <v>30</v>
      </c>
      <c r="K21" t="s">
        <v>30</v>
      </c>
      <c r="L21" t="str">
        <f>VLOOKUP(A21,MultimodalConnectivity_Corridor!$A$2:$K$57,11,FALSE)</f>
        <v>High</v>
      </c>
      <c r="M21">
        <f>VLOOKUP(A21,[2]METRICS!$AA$2:$AC$70,3,FALSE)</f>
        <v>2758.2523460337147</v>
      </c>
      <c r="N21">
        <f>VLOOKUP(A21,[2]METRICS!$AA$2:$AD$70,4,FALSE)</f>
        <v>0.27461609927855396</v>
      </c>
      <c r="O21">
        <v>0</v>
      </c>
      <c r="P21">
        <v>10.872317000000001</v>
      </c>
      <c r="Q21">
        <v>6.5333329999999998</v>
      </c>
      <c r="R21">
        <v>1</v>
      </c>
      <c r="S21">
        <v>1.0397952131743393</v>
      </c>
      <c r="T21">
        <v>0</v>
      </c>
      <c r="U21">
        <v>1</v>
      </c>
      <c r="V21">
        <v>412.75</v>
      </c>
      <c r="W21">
        <v>6.6</v>
      </c>
      <c r="X21">
        <v>5</v>
      </c>
      <c r="Y21" t="s">
        <v>30</v>
      </c>
    </row>
    <row r="22" spans="1:25" x14ac:dyDescent="0.25">
      <c r="A22" t="s">
        <v>50</v>
      </c>
      <c r="B22">
        <v>90.816483914100004</v>
      </c>
      <c r="C22">
        <v>2.8522773882959724E-2</v>
      </c>
      <c r="D22">
        <v>3.2502875449590359E-2</v>
      </c>
      <c r="E22">
        <v>3.6077170000000001</v>
      </c>
      <c r="F22">
        <v>0</v>
      </c>
      <c r="G22">
        <v>102.159536</v>
      </c>
      <c r="H22" t="s">
        <v>30</v>
      </c>
      <c r="I22" t="s">
        <v>32</v>
      </c>
      <c r="J22" t="s">
        <v>32</v>
      </c>
      <c r="K22" t="s">
        <v>32</v>
      </c>
      <c r="L22" t="str">
        <f>VLOOKUP(A22,MultimodalConnectivity_Corridor!$A$2:$K$57,11,FALSE)</f>
        <v>High</v>
      </c>
      <c r="M22">
        <f>VLOOKUP(A22,[2]METRICS!$AA$2:$AC$70,3,FALSE)</f>
        <v>15237.499063175241</v>
      </c>
      <c r="N22">
        <f>VLOOKUP(A22,[2]METRICS!$AA$2:$AD$70,4,FALSE)</f>
        <v>0</v>
      </c>
      <c r="O22">
        <v>0</v>
      </c>
      <c r="P22">
        <v>94.378371000000001</v>
      </c>
      <c r="Q22">
        <v>7.21875</v>
      </c>
      <c r="R22">
        <v>1.1804780031930906</v>
      </c>
      <c r="S22">
        <v>1.0527219557144822</v>
      </c>
      <c r="T22">
        <v>0</v>
      </c>
      <c r="U22">
        <v>1</v>
      </c>
      <c r="V22">
        <v>189</v>
      </c>
      <c r="W22">
        <v>6.5</v>
      </c>
      <c r="X22">
        <v>6</v>
      </c>
      <c r="Y22" t="s">
        <v>32</v>
      </c>
    </row>
    <row r="23" spans="1:25" x14ac:dyDescent="0.25">
      <c r="A23" t="s">
        <v>51</v>
      </c>
      <c r="B23">
        <v>35.996736132800002</v>
      </c>
      <c r="C23">
        <v>4.4712853337609465E-2</v>
      </c>
      <c r="D23">
        <v>8.7713583843351109E-2</v>
      </c>
      <c r="E23">
        <v>1.06149</v>
      </c>
      <c r="F23">
        <v>0</v>
      </c>
      <c r="G23">
        <v>206.693048</v>
      </c>
      <c r="H23" t="s">
        <v>30</v>
      </c>
      <c r="I23" t="s">
        <v>32</v>
      </c>
      <c r="J23" t="s">
        <v>30</v>
      </c>
      <c r="K23" t="s">
        <v>32</v>
      </c>
      <c r="L23" t="str">
        <f>VLOOKUP(A23,MultimodalConnectivity_Corridor!$A$2:$K$57,11,FALSE)</f>
        <v>High</v>
      </c>
      <c r="M23">
        <f>VLOOKUP(A23,[2]METRICS!$AA$2:$AC$70,3,FALSE)</f>
        <v>26695.365599251189</v>
      </c>
      <c r="N23">
        <f>VLOOKUP(A23,[2]METRICS!$AA$2:$AD$70,4,FALSE)</f>
        <v>2.3719840000000003</v>
      </c>
      <c r="O23">
        <v>1</v>
      </c>
      <c r="P23">
        <v>67.803560000000004</v>
      </c>
      <c r="Q23">
        <v>4.8253969999999997</v>
      </c>
      <c r="R23">
        <v>1.2229653457954175</v>
      </c>
      <c r="S23">
        <v>1.0045967480730575</v>
      </c>
      <c r="T23">
        <v>0</v>
      </c>
      <c r="U23">
        <v>1</v>
      </c>
      <c r="V23">
        <v>313.89999999999998</v>
      </c>
      <c r="W23">
        <v>13.1</v>
      </c>
      <c r="X23">
        <v>3</v>
      </c>
      <c r="Y23" t="s">
        <v>30</v>
      </c>
    </row>
    <row r="24" spans="1:25" x14ac:dyDescent="0.25">
      <c r="A24" t="s">
        <v>52</v>
      </c>
      <c r="B24">
        <v>56.3240863179999</v>
      </c>
      <c r="C24">
        <v>2.129842752705996E-2</v>
      </c>
      <c r="D24">
        <v>2.1325453701910305E-2</v>
      </c>
      <c r="E24">
        <v>0</v>
      </c>
      <c r="F24">
        <v>0</v>
      </c>
      <c r="G24">
        <v>0</v>
      </c>
      <c r="H24" t="s">
        <v>30</v>
      </c>
      <c r="I24" t="s">
        <v>30</v>
      </c>
      <c r="J24" t="s">
        <v>30</v>
      </c>
      <c r="K24" t="s">
        <v>30</v>
      </c>
      <c r="L24" t="str">
        <f>VLOOKUP(A24,MultimodalConnectivity_Corridor!$A$2:$K$57,11,FALSE)</f>
        <v>High</v>
      </c>
      <c r="M24">
        <f>VLOOKUP(A24,[2]METRICS!$AA$2:$AC$70,3,FALSE)</f>
        <v>135336.73429903755</v>
      </c>
      <c r="N24">
        <f>VLOOKUP(A24,[2]METRICS!$AA$2:$AD$70,4,FALSE)</f>
        <v>6.7377734377163945</v>
      </c>
      <c r="O24">
        <v>1</v>
      </c>
      <c r="P24">
        <v>100</v>
      </c>
      <c r="Q24">
        <v>5.1785709999999998</v>
      </c>
      <c r="R24">
        <v>1.6326509302322989</v>
      </c>
      <c r="S24">
        <v>1.0073845514206419</v>
      </c>
      <c r="T24">
        <v>0</v>
      </c>
      <c r="U24">
        <v>1</v>
      </c>
      <c r="V24">
        <v>243.45</v>
      </c>
      <c r="W24">
        <v>1.1000000000000001</v>
      </c>
      <c r="X24">
        <v>6</v>
      </c>
      <c r="Y24" t="s">
        <v>30</v>
      </c>
    </row>
    <row r="25" spans="1:25" x14ac:dyDescent="0.25">
      <c r="A25" t="s">
        <v>53</v>
      </c>
      <c r="B25">
        <v>43.110311660000001</v>
      </c>
      <c r="C25">
        <v>0.20747426471618732</v>
      </c>
      <c r="D25">
        <v>0.20020478068160369</v>
      </c>
      <c r="E25">
        <v>1.8903639999999999</v>
      </c>
      <c r="F25">
        <v>9297.4562000000005</v>
      </c>
      <c r="G25">
        <v>443.710015</v>
      </c>
      <c r="H25" t="s">
        <v>30</v>
      </c>
      <c r="I25" t="s">
        <v>32</v>
      </c>
      <c r="J25" t="s">
        <v>30</v>
      </c>
      <c r="K25" t="s">
        <v>32</v>
      </c>
      <c r="L25" t="str">
        <f>VLOOKUP(A25,MultimodalConnectivity_Corridor!$A$2:$K$57,11,FALSE)</f>
        <v>High</v>
      </c>
      <c r="M25">
        <f>VLOOKUP(A25,[2]METRICS!$AA$2:$AC$70,3,FALSE)</f>
        <v>103586.39040742992</v>
      </c>
      <c r="N25">
        <f>VLOOKUP(A25,[2]METRICS!$AA$2:$AD$70,4,FALSE)</f>
        <v>5.1570745622836061</v>
      </c>
      <c r="O25">
        <v>1</v>
      </c>
      <c r="P25">
        <v>29.463536999999999</v>
      </c>
      <c r="Q25">
        <v>11.247934000000001</v>
      </c>
      <c r="R25">
        <v>1.3417909742688683</v>
      </c>
      <c r="S25">
        <v>1.0417623925424224</v>
      </c>
      <c r="T25">
        <v>0</v>
      </c>
      <c r="U25">
        <v>1</v>
      </c>
      <c r="V25">
        <v>358.85</v>
      </c>
      <c r="W25">
        <v>3.2</v>
      </c>
      <c r="X25">
        <v>8</v>
      </c>
      <c r="Y25" t="s">
        <v>193</v>
      </c>
    </row>
    <row r="26" spans="1:25" x14ac:dyDescent="0.25">
      <c r="A26" t="s">
        <v>54</v>
      </c>
      <c r="B26">
        <v>41.542048884700002</v>
      </c>
      <c r="C26">
        <v>5.1653366776133261E-2</v>
      </c>
      <c r="D26">
        <v>8.75379505618291E-2</v>
      </c>
      <c r="E26">
        <v>0</v>
      </c>
      <c r="F26">
        <v>0</v>
      </c>
      <c r="G26">
        <v>0</v>
      </c>
      <c r="H26" t="s">
        <v>32</v>
      </c>
      <c r="I26" t="s">
        <v>30</v>
      </c>
      <c r="J26" t="s">
        <v>30</v>
      </c>
      <c r="K26" t="s">
        <v>30</v>
      </c>
      <c r="L26" t="str">
        <f>VLOOKUP(A26,MultimodalConnectivity_Corridor!$A$2:$K$57,11,FALSE)</f>
        <v>Low</v>
      </c>
      <c r="M26">
        <f>VLOOKUP(A26,[2]METRICS!$AA$2:$AC$70,3,FALSE)</f>
        <v>8481.7203106018223</v>
      </c>
      <c r="N26">
        <f>VLOOKUP(A26,[2]METRICS!$AA$2:$AD$70,4,FALSE)</f>
        <v>0</v>
      </c>
      <c r="O26">
        <v>0</v>
      </c>
      <c r="P26">
        <v>94.921351000000001</v>
      </c>
      <c r="Q26">
        <v>7.5376339999999997</v>
      </c>
      <c r="R26">
        <v>1</v>
      </c>
      <c r="S26">
        <v>1.0134060774319311</v>
      </c>
      <c r="T26">
        <v>0</v>
      </c>
      <c r="U26">
        <v>1</v>
      </c>
      <c r="V26">
        <v>269.75</v>
      </c>
      <c r="W26">
        <v>1.9</v>
      </c>
      <c r="X26">
        <v>7</v>
      </c>
      <c r="Y26" t="s">
        <v>193</v>
      </c>
    </row>
    <row r="27" spans="1:25" x14ac:dyDescent="0.25">
      <c r="A27" t="s">
        <v>55</v>
      </c>
      <c r="B27">
        <v>76.8165697300999</v>
      </c>
      <c r="C27">
        <v>9.0147868988937591E-2</v>
      </c>
      <c r="D27">
        <v>0.10115324157619136</v>
      </c>
      <c r="E27">
        <v>0</v>
      </c>
      <c r="F27">
        <v>0</v>
      </c>
      <c r="G27">
        <v>0</v>
      </c>
      <c r="H27" t="s">
        <v>32</v>
      </c>
      <c r="I27" t="s">
        <v>32</v>
      </c>
      <c r="J27" t="s">
        <v>32</v>
      </c>
      <c r="K27" t="s">
        <v>30</v>
      </c>
      <c r="L27" t="str">
        <f>VLOOKUP(A27,MultimodalConnectivity_Corridor!$A$2:$K$57,11,FALSE)</f>
        <v>High</v>
      </c>
      <c r="M27">
        <f>VLOOKUP(A27,[2]METRICS!$AA$2:$AC$70,3,FALSE)</f>
        <v>91.091571214960297</v>
      </c>
      <c r="N27">
        <f>VLOOKUP(A27,[2]METRICS!$AA$2:$AD$70,4,FALSE)</f>
        <v>0</v>
      </c>
      <c r="O27">
        <v>0</v>
      </c>
      <c r="P27">
        <v>98.942004999999995</v>
      </c>
      <c r="Q27">
        <v>4.8679249999999996</v>
      </c>
      <c r="R27">
        <v>1.008925587068936</v>
      </c>
      <c r="S27">
        <v>1.1040225800541066</v>
      </c>
      <c r="T27">
        <v>0</v>
      </c>
      <c r="U27">
        <v>1</v>
      </c>
      <c r="V27">
        <v>436.6</v>
      </c>
      <c r="W27">
        <v>3.3</v>
      </c>
      <c r="X27">
        <v>9</v>
      </c>
      <c r="Y27" t="s">
        <v>32</v>
      </c>
    </row>
    <row r="28" spans="1:25" x14ac:dyDescent="0.25">
      <c r="A28" t="s">
        <v>56</v>
      </c>
      <c r="B28">
        <v>75.904228896299898</v>
      </c>
      <c r="C28">
        <v>0.10132035523918724</v>
      </c>
      <c r="D28">
        <v>0.13302608052446993</v>
      </c>
      <c r="E28">
        <v>0</v>
      </c>
      <c r="F28">
        <v>0</v>
      </c>
      <c r="G28">
        <v>0</v>
      </c>
      <c r="H28" t="s">
        <v>30</v>
      </c>
      <c r="I28" t="s">
        <v>30</v>
      </c>
      <c r="J28" t="s">
        <v>30</v>
      </c>
      <c r="K28" t="s">
        <v>30</v>
      </c>
      <c r="L28" t="str">
        <f>VLOOKUP(A28,MultimodalConnectivity_Corridor!$A$2:$K$57,11,FALSE)</f>
        <v>Low</v>
      </c>
      <c r="M28">
        <f>VLOOKUP(A28,[2]METRICS!$AA$2:$AC$70,3,FALSE)</f>
        <v>20768.635997710287</v>
      </c>
      <c r="N28">
        <f>VLOOKUP(A28,[2]METRICS!$AA$2:$AD$70,4,FALSE)</f>
        <v>1.701012</v>
      </c>
      <c r="O28">
        <v>0</v>
      </c>
      <c r="P28">
        <v>62.093412000000001</v>
      </c>
      <c r="Q28">
        <v>5.6071429999999998</v>
      </c>
      <c r="R28">
        <v>1.0829873498896192</v>
      </c>
      <c r="S28">
        <v>1.0557230392081891</v>
      </c>
      <c r="T28">
        <v>0</v>
      </c>
      <c r="U28">
        <v>1.0033307977714128</v>
      </c>
      <c r="V28">
        <v>456.95</v>
      </c>
      <c r="W28">
        <v>4.7</v>
      </c>
      <c r="X28">
        <v>9</v>
      </c>
      <c r="Y28" t="s">
        <v>30</v>
      </c>
    </row>
    <row r="29" spans="1:25" x14ac:dyDescent="0.25">
      <c r="A29" t="s">
        <v>57</v>
      </c>
      <c r="B29">
        <v>24.2876317204</v>
      </c>
      <c r="C29">
        <v>0.28274546741004192</v>
      </c>
      <c r="D29">
        <v>0.33583450265157377</v>
      </c>
      <c r="E29">
        <v>2.1191789999999999</v>
      </c>
      <c r="F29">
        <v>16407.630662</v>
      </c>
      <c r="G29">
        <v>888.48335599999996</v>
      </c>
      <c r="H29" t="s">
        <v>30</v>
      </c>
      <c r="I29" t="s">
        <v>32</v>
      </c>
      <c r="J29" t="s">
        <v>30</v>
      </c>
      <c r="K29" t="s">
        <v>30</v>
      </c>
      <c r="L29" t="str">
        <f>VLOOKUP(A29,MultimodalConnectivity_Corridor!$A$2:$K$57,11,FALSE)</f>
        <v>High</v>
      </c>
      <c r="M29">
        <f>VLOOKUP(A29,[2]METRICS!$AA$2:$AC$70,3,FALSE)</f>
        <v>636160.97660782433</v>
      </c>
      <c r="N29">
        <f>VLOOKUP(A29,[2]METRICS!$AA$2:$AD$70,4,FALSE)</f>
        <v>4.2965460000000002</v>
      </c>
      <c r="O29">
        <v>0</v>
      </c>
      <c r="P29">
        <v>28.996843999999999</v>
      </c>
      <c r="Q29">
        <v>9.4210530000000006</v>
      </c>
      <c r="R29">
        <v>1.0713499778217395</v>
      </c>
      <c r="S29">
        <v>1.0469767822744638</v>
      </c>
      <c r="T29">
        <v>0</v>
      </c>
      <c r="U29">
        <v>1</v>
      </c>
      <c r="V29">
        <v>583.70000000000005</v>
      </c>
      <c r="W29">
        <v>10.199999999999999</v>
      </c>
      <c r="X29">
        <v>3</v>
      </c>
      <c r="Y29" t="s">
        <v>30</v>
      </c>
    </row>
    <row r="30" spans="1:25" x14ac:dyDescent="0.25">
      <c r="A30" t="s">
        <v>58</v>
      </c>
      <c r="B30">
        <v>16.2004129271</v>
      </c>
      <c r="C30">
        <v>5.0332380148064716E-2</v>
      </c>
      <c r="D30">
        <v>3.5707406694027527E-2</v>
      </c>
      <c r="E30">
        <v>0</v>
      </c>
      <c r="F30">
        <v>0</v>
      </c>
      <c r="G30">
        <v>0</v>
      </c>
      <c r="H30" t="s">
        <v>32</v>
      </c>
      <c r="I30" t="s">
        <v>32</v>
      </c>
      <c r="J30" t="s">
        <v>30</v>
      </c>
      <c r="K30" t="s">
        <v>32</v>
      </c>
      <c r="L30" t="str">
        <f>VLOOKUP(A30,MultimodalConnectivity_Corridor!$A$2:$K$57,11,FALSE)</f>
        <v>Low</v>
      </c>
      <c r="M30">
        <f>VLOOKUP(A30,[2]METRICS!$AA$2:$AC$70,3,FALSE)</f>
        <v>117157.57527829465</v>
      </c>
      <c r="N30">
        <f>VLOOKUP(A30,[2]METRICS!$AA$2:$AD$70,4,FALSE)</f>
        <v>0.28066200000000002</v>
      </c>
      <c r="O30">
        <v>0</v>
      </c>
      <c r="P30">
        <v>70.487317000000004</v>
      </c>
      <c r="Q30">
        <v>5.7575760000000002</v>
      </c>
      <c r="R30">
        <v>1</v>
      </c>
      <c r="S30">
        <v>1.0332117935135172</v>
      </c>
      <c r="T30">
        <v>0</v>
      </c>
      <c r="U30">
        <v>1</v>
      </c>
      <c r="V30">
        <v>296.8</v>
      </c>
      <c r="W30">
        <v>4.3</v>
      </c>
      <c r="X30">
        <v>2</v>
      </c>
      <c r="Y30" t="s">
        <v>193</v>
      </c>
    </row>
    <row r="31" spans="1:25" x14ac:dyDescent="0.25">
      <c r="A31" t="s">
        <v>59</v>
      </c>
      <c r="B31">
        <v>16.3123234551</v>
      </c>
      <c r="C31">
        <v>2.8270655458676797E-2</v>
      </c>
      <c r="D31">
        <v>7.4848171846294817E-2</v>
      </c>
      <c r="E31">
        <v>0</v>
      </c>
      <c r="F31">
        <v>0</v>
      </c>
      <c r="G31">
        <v>0</v>
      </c>
      <c r="H31" t="s">
        <v>30</v>
      </c>
      <c r="I31" t="s">
        <v>32</v>
      </c>
      <c r="J31" t="s">
        <v>30</v>
      </c>
      <c r="K31" t="s">
        <v>30</v>
      </c>
      <c r="L31" t="str">
        <f>VLOOKUP(A31,MultimodalConnectivity_Corridor!$A$2:$K$57,11,FALSE)</f>
        <v>Med</v>
      </c>
      <c r="M31">
        <f>VLOOKUP(A31,[2]METRICS!$AA$2:$AC$70,3,FALSE)</f>
        <v>6371.5316129526991</v>
      </c>
      <c r="N31">
        <f>VLOOKUP(A31,[2]METRICS!$AA$2:$AD$70,4,FALSE)</f>
        <v>0.58067702347356132</v>
      </c>
      <c r="O31">
        <v>0</v>
      </c>
      <c r="P31">
        <v>68.600060999999997</v>
      </c>
      <c r="Q31">
        <v>6.4411759999999996</v>
      </c>
      <c r="R31">
        <v>1</v>
      </c>
      <c r="S31">
        <v>1.0026417682281097</v>
      </c>
      <c r="T31">
        <v>0</v>
      </c>
      <c r="U31">
        <v>1</v>
      </c>
      <c r="V31">
        <v>393.55</v>
      </c>
      <c r="W31">
        <v>3.7</v>
      </c>
      <c r="X31">
        <v>8</v>
      </c>
      <c r="Y31" t="s">
        <v>30</v>
      </c>
    </row>
    <row r="32" spans="1:25" x14ac:dyDescent="0.25">
      <c r="A32" t="s">
        <v>60</v>
      </c>
      <c r="B32">
        <v>84.428982097299894</v>
      </c>
      <c r="C32">
        <v>0.24172568839795688</v>
      </c>
      <c r="D32">
        <v>0.49237223402112379</v>
      </c>
      <c r="E32">
        <v>2.4313099999999999</v>
      </c>
      <c r="F32">
        <v>63663.844443000002</v>
      </c>
      <c r="G32">
        <v>2529.7467200000001</v>
      </c>
      <c r="H32" t="s">
        <v>30</v>
      </c>
      <c r="I32" t="s">
        <v>32</v>
      </c>
      <c r="J32" t="s">
        <v>30</v>
      </c>
      <c r="K32" t="s">
        <v>30</v>
      </c>
      <c r="L32" t="str">
        <f>VLOOKUP(A32,MultimodalConnectivity_Corridor!$A$2:$K$57,11,FALSE)</f>
        <v>Med</v>
      </c>
      <c r="M32">
        <f>VLOOKUP(A32,[2]METRICS!$AA$2:$AC$70,3,FALSE)</f>
        <v>32977.639878406029</v>
      </c>
      <c r="N32">
        <f>VLOOKUP(A32,[2]METRICS!$AA$2:$AD$70,4,FALSE)</f>
        <v>3.0054559765264384</v>
      </c>
      <c r="O32">
        <v>0</v>
      </c>
      <c r="P32">
        <v>100</v>
      </c>
      <c r="Q32">
        <v>5.9223299999999997</v>
      </c>
      <c r="R32">
        <v>1</v>
      </c>
      <c r="S32">
        <v>1.1028763403857742</v>
      </c>
      <c r="T32">
        <v>0</v>
      </c>
      <c r="U32">
        <v>1</v>
      </c>
      <c r="V32">
        <v>680.85</v>
      </c>
      <c r="W32">
        <v>17</v>
      </c>
      <c r="X32">
        <v>10</v>
      </c>
      <c r="Y32" t="s">
        <v>30</v>
      </c>
    </row>
    <row r="33" spans="1:25" x14ac:dyDescent="0.25">
      <c r="A33" t="s">
        <v>61</v>
      </c>
      <c r="B33">
        <v>23.3867259365</v>
      </c>
      <c r="C33">
        <v>9.8569807089674139E-2</v>
      </c>
      <c r="D33">
        <v>8.5867885619495293E-2</v>
      </c>
      <c r="E33">
        <v>0</v>
      </c>
      <c r="F33">
        <v>0</v>
      </c>
      <c r="G33">
        <v>0</v>
      </c>
      <c r="H33" t="s">
        <v>32</v>
      </c>
      <c r="I33" t="s">
        <v>32</v>
      </c>
      <c r="J33" t="s">
        <v>30</v>
      </c>
      <c r="K33" t="s">
        <v>32</v>
      </c>
      <c r="L33" t="str">
        <f>VLOOKUP(A33,MultimodalConnectivity_Corridor!$A$2:$K$57,11,FALSE)</f>
        <v>High</v>
      </c>
      <c r="M33">
        <f>VLOOKUP(A33,[2]METRICS!$AA$2:$AC$70,3,FALSE)</f>
        <v>871.13166782900942</v>
      </c>
      <c r="N33">
        <f>VLOOKUP(A33,[2]METRICS!$AA$2:$AD$70,4,FALSE)</f>
        <v>0</v>
      </c>
      <c r="O33">
        <v>0</v>
      </c>
      <c r="P33">
        <v>96.066312999999994</v>
      </c>
      <c r="Q33">
        <v>8.4102560000000004</v>
      </c>
      <c r="R33">
        <v>1.2036035167996804</v>
      </c>
      <c r="S33">
        <v>1.1458315868830746</v>
      </c>
      <c r="T33">
        <v>0</v>
      </c>
      <c r="U33">
        <v>1</v>
      </c>
      <c r="V33">
        <v>531.54999999999995</v>
      </c>
      <c r="W33">
        <v>7.3</v>
      </c>
      <c r="X33">
        <v>3</v>
      </c>
      <c r="Y33" t="s">
        <v>193</v>
      </c>
    </row>
    <row r="34" spans="1:25" x14ac:dyDescent="0.25">
      <c r="A34" t="s">
        <v>62</v>
      </c>
      <c r="B34">
        <v>21.4947777289999</v>
      </c>
      <c r="C34">
        <v>1.0960365364128467E-2</v>
      </c>
      <c r="D34">
        <v>2.2521107429731502E-2</v>
      </c>
      <c r="E34">
        <v>1.6861299999999999</v>
      </c>
      <c r="F34">
        <v>89.956594999999993</v>
      </c>
      <c r="G34">
        <v>1152.3041089999999</v>
      </c>
      <c r="H34" t="s">
        <v>32</v>
      </c>
      <c r="I34" t="s">
        <v>32</v>
      </c>
      <c r="J34" t="s">
        <v>30</v>
      </c>
      <c r="K34" t="s">
        <v>30</v>
      </c>
      <c r="L34" t="str">
        <f>VLOOKUP(A34,MultimodalConnectivity_Corridor!$A$2:$K$57,11,FALSE)</f>
        <v>Med</v>
      </c>
      <c r="M34">
        <f>VLOOKUP(A34,[2]METRICS!$AA$2:$AC$70,3,FALSE)</f>
        <v>4886.0925761443759</v>
      </c>
      <c r="N34">
        <f>VLOOKUP(A34,[2]METRICS!$AA$2:$AD$70,4,FALSE)</f>
        <v>0</v>
      </c>
      <c r="O34">
        <v>0</v>
      </c>
      <c r="P34">
        <v>25.695398999999998</v>
      </c>
      <c r="Q34">
        <v>11.488372</v>
      </c>
      <c r="R34">
        <v>2.9217360432502204</v>
      </c>
      <c r="S34">
        <v>1.1864371749709188</v>
      </c>
      <c r="T34">
        <v>0</v>
      </c>
      <c r="U34">
        <v>1.0606696391451709</v>
      </c>
      <c r="V34">
        <v>184.25</v>
      </c>
      <c r="W34">
        <v>1.8</v>
      </c>
      <c r="X34">
        <v>3</v>
      </c>
      <c r="Y34" t="s">
        <v>30</v>
      </c>
    </row>
    <row r="35" spans="1:25" x14ac:dyDescent="0.25">
      <c r="A35" t="s">
        <v>63</v>
      </c>
      <c r="B35">
        <v>56.814608672299897</v>
      </c>
      <c r="C35">
        <v>0.13951304670832673</v>
      </c>
      <c r="D35">
        <v>0.10834179369557935</v>
      </c>
      <c r="E35">
        <v>0</v>
      </c>
      <c r="F35">
        <v>0</v>
      </c>
      <c r="G35">
        <v>0</v>
      </c>
      <c r="H35" t="s">
        <v>30</v>
      </c>
      <c r="I35" t="s">
        <v>30</v>
      </c>
      <c r="J35" t="s">
        <v>30</v>
      </c>
      <c r="K35" t="s">
        <v>30</v>
      </c>
      <c r="L35" t="str">
        <f>VLOOKUP(A35,MultimodalConnectivity_Corridor!$A$2:$K$57,11,FALSE)</f>
        <v>High</v>
      </c>
      <c r="M35">
        <f>VLOOKUP(A35,[2]METRICS!$AA$2:$AC$70,3,FALSE)</f>
        <v>30874.358947261331</v>
      </c>
      <c r="N35">
        <f>VLOOKUP(A35,[2]METRICS!$AA$2:$AD$70,4,FALSE)</f>
        <v>0.23605999999999999</v>
      </c>
      <c r="O35">
        <v>0</v>
      </c>
      <c r="P35">
        <v>71.092644000000007</v>
      </c>
      <c r="Q35">
        <v>10.473214</v>
      </c>
      <c r="R35">
        <v>1.393192347501603</v>
      </c>
      <c r="S35">
        <v>1.0231396070697303</v>
      </c>
      <c r="T35">
        <v>0</v>
      </c>
      <c r="U35">
        <v>1</v>
      </c>
      <c r="V35">
        <v>353.2</v>
      </c>
      <c r="W35">
        <v>1.4</v>
      </c>
      <c r="X35">
        <v>3</v>
      </c>
      <c r="Y35" t="s">
        <v>32</v>
      </c>
    </row>
    <row r="36" spans="1:25" x14ac:dyDescent="0.25">
      <c r="A36" t="s">
        <v>64</v>
      </c>
      <c r="B36">
        <v>95.0268986208999</v>
      </c>
      <c r="C36">
        <v>1.382978642633931E-2</v>
      </c>
      <c r="D36">
        <v>1.4115556317421136E-2</v>
      </c>
      <c r="E36">
        <v>1.091547</v>
      </c>
      <c r="F36">
        <v>0</v>
      </c>
      <c r="G36">
        <v>63.015563999999998</v>
      </c>
      <c r="H36" t="s">
        <v>30</v>
      </c>
      <c r="I36" t="s">
        <v>32</v>
      </c>
      <c r="J36" t="s">
        <v>30</v>
      </c>
      <c r="K36" t="s">
        <v>30</v>
      </c>
      <c r="L36" t="str">
        <f>VLOOKUP(A36,MultimodalConnectivity_Corridor!$A$2:$K$57,11,FALSE)</f>
        <v>Low</v>
      </c>
      <c r="M36">
        <f>VLOOKUP(A36,[2]METRICS!$AA$2:$AC$70,3,FALSE)</f>
        <v>378.04423712436511</v>
      </c>
      <c r="N36">
        <f>VLOOKUP(A36,[2]METRICS!$AA$2:$AD$70,4,FALSE)</f>
        <v>0</v>
      </c>
      <c r="O36">
        <v>0</v>
      </c>
      <c r="P36">
        <v>89.897842999999995</v>
      </c>
      <c r="Q36">
        <v>6.7734379999999996</v>
      </c>
      <c r="R36">
        <v>1.0532507729757714</v>
      </c>
      <c r="S36">
        <v>1.2552564719263255</v>
      </c>
      <c r="T36">
        <v>0</v>
      </c>
      <c r="U36">
        <v>1</v>
      </c>
      <c r="V36">
        <v>140.80000000000001</v>
      </c>
      <c r="W36">
        <v>0.3</v>
      </c>
      <c r="X36">
        <v>3</v>
      </c>
      <c r="Y36" t="s">
        <v>193</v>
      </c>
    </row>
    <row r="37" spans="1:25" x14ac:dyDescent="0.25">
      <c r="A37" t="s">
        <v>65</v>
      </c>
      <c r="B37">
        <v>44.3952689889</v>
      </c>
      <c r="C37">
        <v>7.2504625526155747E-2</v>
      </c>
      <c r="D37">
        <v>5.4362701393321861E-2</v>
      </c>
      <c r="E37">
        <v>0</v>
      </c>
      <c r="F37">
        <v>0</v>
      </c>
      <c r="G37">
        <v>0</v>
      </c>
      <c r="H37" t="s">
        <v>30</v>
      </c>
      <c r="I37" t="s">
        <v>30</v>
      </c>
      <c r="J37" t="s">
        <v>30</v>
      </c>
      <c r="K37" t="s">
        <v>30</v>
      </c>
      <c r="L37" t="str">
        <f>VLOOKUP(A37,MultimodalConnectivity_Corridor!$A$2:$K$57,11,FALSE)</f>
        <v>Low</v>
      </c>
      <c r="M37">
        <f>VLOOKUP(A37,[2]METRICS!$AA$2:$AC$70,3,FALSE)</f>
        <v>2823.3029317782807</v>
      </c>
      <c r="N37">
        <f>VLOOKUP(A37,[2]METRICS!$AA$2:$AD$70,4,FALSE)</f>
        <v>1.9461225615373265</v>
      </c>
      <c r="O37">
        <v>0</v>
      </c>
      <c r="P37">
        <v>100</v>
      </c>
      <c r="Q37">
        <v>0.93333299999999997</v>
      </c>
      <c r="R37">
        <v>1.1933359956730982</v>
      </c>
      <c r="S37">
        <v>1.0449911635104352</v>
      </c>
      <c r="T37">
        <v>0</v>
      </c>
      <c r="U37">
        <v>1.0382261621652737</v>
      </c>
      <c r="V37">
        <v>298.85000000000002</v>
      </c>
      <c r="W37">
        <v>1.7</v>
      </c>
      <c r="X37">
        <v>5</v>
      </c>
      <c r="Y37" t="s">
        <v>30</v>
      </c>
    </row>
    <row r="38" spans="1:25" x14ac:dyDescent="0.25">
      <c r="A38" t="s">
        <v>66</v>
      </c>
      <c r="B38">
        <v>42.901241016900002</v>
      </c>
      <c r="C38">
        <v>9.0586684811045912E-2</v>
      </c>
      <c r="D38">
        <v>8.3658288412403803E-2</v>
      </c>
      <c r="E38">
        <v>0</v>
      </c>
      <c r="F38">
        <v>0</v>
      </c>
      <c r="G38">
        <v>0</v>
      </c>
      <c r="H38" t="s">
        <v>30</v>
      </c>
      <c r="I38" t="s">
        <v>32</v>
      </c>
      <c r="J38" t="s">
        <v>30</v>
      </c>
      <c r="K38" t="s">
        <v>32</v>
      </c>
      <c r="L38" t="str">
        <f>VLOOKUP(A38,MultimodalConnectivity_Corridor!$A$2:$K$57,11,FALSE)</f>
        <v>Med</v>
      </c>
      <c r="M38">
        <f>VLOOKUP(A38,[2]METRICS!$AA$2:$AC$70,3,FALSE)</f>
        <v>2728.2907007551735</v>
      </c>
      <c r="N38">
        <f>VLOOKUP(A38,[2]METRICS!$AA$2:$AD$70,4,FALSE)</f>
        <v>1.8806299626614413</v>
      </c>
      <c r="O38">
        <v>0</v>
      </c>
      <c r="P38">
        <v>98.225987000000003</v>
      </c>
      <c r="Q38">
        <v>8.1545450000000006</v>
      </c>
      <c r="R38">
        <v>1.0702961252305125</v>
      </c>
      <c r="S38">
        <v>1.0037295847637819</v>
      </c>
      <c r="T38">
        <v>0</v>
      </c>
      <c r="U38">
        <v>1.0332942678149377</v>
      </c>
      <c r="V38">
        <v>346.55</v>
      </c>
      <c r="W38">
        <v>0.8</v>
      </c>
      <c r="X38">
        <v>5</v>
      </c>
      <c r="Y38" t="s">
        <v>32</v>
      </c>
    </row>
    <row r="39" spans="1:25" x14ac:dyDescent="0.25">
      <c r="A39" t="s">
        <v>67</v>
      </c>
      <c r="B39">
        <v>20.8341330292</v>
      </c>
      <c r="C39">
        <v>4.0238739287978394E-2</v>
      </c>
      <c r="D39">
        <v>3.1176738925594461E-2</v>
      </c>
      <c r="E39">
        <v>1.9986539999999999</v>
      </c>
      <c r="F39">
        <v>5226.1057110000002</v>
      </c>
      <c r="G39">
        <v>462.17578900000001</v>
      </c>
      <c r="H39" t="s">
        <v>32</v>
      </c>
      <c r="I39" t="s">
        <v>32</v>
      </c>
      <c r="J39" t="s">
        <v>30</v>
      </c>
      <c r="K39" t="s">
        <v>32</v>
      </c>
      <c r="L39" t="str">
        <f>VLOOKUP(A39,MultimodalConnectivity_Corridor!$A$2:$K$57,11,FALSE)</f>
        <v>Med</v>
      </c>
      <c r="M39">
        <f>VLOOKUP(A39,[2]METRICS!$AA$2:$AC$70,3,FALSE)</f>
        <v>1324.9400263146488</v>
      </c>
      <c r="N39">
        <f>VLOOKUP(A39,[2]METRICS!$AA$2:$AD$70,4,FALSE)</f>
        <v>0.91329047580123113</v>
      </c>
      <c r="O39">
        <v>0</v>
      </c>
      <c r="P39">
        <v>92.662163000000007</v>
      </c>
      <c r="Q39">
        <v>8.3333329999999997</v>
      </c>
      <c r="R39">
        <v>1</v>
      </c>
      <c r="S39">
        <v>1.0865613016541522</v>
      </c>
      <c r="T39">
        <v>0</v>
      </c>
      <c r="U39">
        <v>1</v>
      </c>
      <c r="V39">
        <v>255.6</v>
      </c>
      <c r="W39">
        <v>2.6</v>
      </c>
      <c r="X39">
        <v>5</v>
      </c>
      <c r="Y39" t="s">
        <v>193</v>
      </c>
    </row>
    <row r="40" spans="1:25" x14ac:dyDescent="0.25">
      <c r="A40" t="s">
        <v>68</v>
      </c>
      <c r="B40">
        <v>12.0349357255</v>
      </c>
      <c r="C40">
        <v>0</v>
      </c>
      <c r="D40">
        <v>0</v>
      </c>
      <c r="E40">
        <v>1.3808940000000001</v>
      </c>
      <c r="F40">
        <v>585.27425600000004</v>
      </c>
      <c r="G40">
        <v>402.62665399999997</v>
      </c>
      <c r="H40" t="s">
        <v>30</v>
      </c>
      <c r="I40" t="s">
        <v>30</v>
      </c>
      <c r="J40" t="s">
        <v>30</v>
      </c>
      <c r="K40" t="s">
        <v>30</v>
      </c>
      <c r="L40" t="str">
        <f>VLOOKUP(A40,MultimodalConnectivity_Corridor!$A$2:$K$57,11,FALSE)</f>
        <v>Med</v>
      </c>
      <c r="M40">
        <f>VLOOKUP(A40,[2]METRICS!$AA$2:$AC$70,3,FALSE)</f>
        <v>4372.5052152945163</v>
      </c>
      <c r="N40">
        <f>VLOOKUP(A40,[2]METRICS!$AA$2:$AD$70,4,FALSE)</f>
        <v>0</v>
      </c>
      <c r="O40">
        <v>0</v>
      </c>
      <c r="P40">
        <v>87.621793999999994</v>
      </c>
      <c r="Q40">
        <v>14</v>
      </c>
      <c r="R40">
        <v>1</v>
      </c>
      <c r="S40">
        <v>1.7319725380026048</v>
      </c>
      <c r="T40">
        <v>0</v>
      </c>
      <c r="U40">
        <v>1</v>
      </c>
      <c r="V40">
        <v>175.35</v>
      </c>
      <c r="W40">
        <v>1.3</v>
      </c>
      <c r="X40">
        <v>1</v>
      </c>
      <c r="Y40" t="s">
        <v>193</v>
      </c>
    </row>
    <row r="41" spans="1:25" s="2" customFormat="1" x14ac:dyDescent="0.25">
      <c r="A41" s="2" t="s">
        <v>69</v>
      </c>
      <c r="B41" s="2">
        <v>16.0307517201</v>
      </c>
      <c r="C41">
        <v>0</v>
      </c>
      <c r="D41">
        <v>0</v>
      </c>
      <c r="E41" s="2">
        <v>0</v>
      </c>
      <c r="F41" s="2">
        <v>0</v>
      </c>
      <c r="G41" s="2">
        <v>0</v>
      </c>
      <c r="H41" t="s">
        <v>193</v>
      </c>
      <c r="I41" t="s">
        <v>193</v>
      </c>
      <c r="J41" t="s">
        <v>30</v>
      </c>
      <c r="K41" t="s">
        <v>30</v>
      </c>
      <c r="L41" t="str">
        <f>VLOOKUP(A41,MultimodalConnectivity_Corridor!$A$2:$K$57,11,FALSE)</f>
        <v>Low</v>
      </c>
      <c r="M41" s="2">
        <f>VLOOKUP(A41,[2]METRICS!$AA$2:$AC$70,3,FALSE)</f>
        <v>15277.42687762626</v>
      </c>
      <c r="N41" s="2">
        <f>VLOOKUP(A41,[2]METRICS!$AA$2:$AD$70,4,FALSE)</f>
        <v>0</v>
      </c>
      <c r="O41" s="2">
        <v>0</v>
      </c>
      <c r="P41" s="2">
        <v>0</v>
      </c>
      <c r="Q41" s="2">
        <v>0</v>
      </c>
      <c r="R41" s="2">
        <v>1</v>
      </c>
      <c r="S41" s="2">
        <v>1</v>
      </c>
      <c r="T41" s="2">
        <v>0</v>
      </c>
      <c r="U41" s="2">
        <v>1</v>
      </c>
      <c r="V41" s="2">
        <v>312.7</v>
      </c>
      <c r="W41" s="2">
        <v>2.5</v>
      </c>
      <c r="X41" s="2">
        <v>0</v>
      </c>
      <c r="Y41" s="2" t="s">
        <v>193</v>
      </c>
    </row>
    <row r="42" spans="1:25" x14ac:dyDescent="0.25">
      <c r="A42" t="s">
        <v>70</v>
      </c>
      <c r="B42">
        <v>6.5691873898299997</v>
      </c>
      <c r="C42">
        <v>0</v>
      </c>
      <c r="D42">
        <v>0</v>
      </c>
      <c r="E42">
        <v>0</v>
      </c>
      <c r="F42">
        <v>0</v>
      </c>
      <c r="G42">
        <v>0</v>
      </c>
      <c r="H42" t="s">
        <v>193</v>
      </c>
      <c r="I42" t="s">
        <v>193</v>
      </c>
      <c r="J42" t="s">
        <v>30</v>
      </c>
      <c r="K42" t="s">
        <v>30</v>
      </c>
      <c r="L42" t="str">
        <f>VLOOKUP(A42,MultimodalConnectivity_Corridor!$A$2:$K$57,11,FALSE)</f>
        <v>High</v>
      </c>
      <c r="M42">
        <f>VLOOKUP(A42,[2]METRICS!$AA$2:$AC$70,3,FALSE)</f>
        <v>112407.36715083089</v>
      </c>
      <c r="N42">
        <f>VLOOKUP(A42,[2]METRICS!$AA$2:$AD$70,4,FALSE)</f>
        <v>0</v>
      </c>
      <c r="O42">
        <v>1</v>
      </c>
      <c r="P42">
        <v>0</v>
      </c>
      <c r="Q42">
        <v>0</v>
      </c>
      <c r="R42">
        <v>2</v>
      </c>
      <c r="S42">
        <v>1</v>
      </c>
      <c r="T42">
        <v>0</v>
      </c>
      <c r="U42">
        <v>1</v>
      </c>
      <c r="V42">
        <v>118.3</v>
      </c>
      <c r="W42">
        <v>3.2</v>
      </c>
      <c r="X42">
        <v>0</v>
      </c>
      <c r="Y42" t="s">
        <v>193</v>
      </c>
    </row>
    <row r="43" spans="1:25" x14ac:dyDescent="0.25">
      <c r="A43" t="s">
        <v>71</v>
      </c>
      <c r="B43">
        <v>21.489188390100001</v>
      </c>
      <c r="C43">
        <v>0</v>
      </c>
      <c r="D43">
        <v>0</v>
      </c>
      <c r="E43">
        <v>1.8408370000000001</v>
      </c>
      <c r="F43">
        <v>2087.6271310000002</v>
      </c>
      <c r="G43">
        <v>925.32203300000003</v>
      </c>
      <c r="H43" t="s">
        <v>30</v>
      </c>
      <c r="I43" t="s">
        <v>30</v>
      </c>
      <c r="J43" t="s">
        <v>30</v>
      </c>
      <c r="K43" t="s">
        <v>30</v>
      </c>
      <c r="L43" t="str">
        <f>VLOOKUP(A43,MultimodalConnectivity_Corridor!$A$2:$K$57,11,FALSE)</f>
        <v>Med</v>
      </c>
      <c r="M43">
        <f>VLOOKUP(A43,[2]METRICS!$AA$2:$AC$70,3,FALSE)</f>
        <v>548969.29255157174</v>
      </c>
      <c r="N43">
        <f>VLOOKUP(A43,[2]METRICS!$AA$2:$AD$70,4,FALSE)</f>
        <v>0</v>
      </c>
      <c r="O43">
        <v>1</v>
      </c>
      <c r="P43">
        <v>93.391554999999997</v>
      </c>
      <c r="Q43">
        <v>8.3636359999999996</v>
      </c>
      <c r="R43">
        <v>0.6648563747421119</v>
      </c>
      <c r="S43">
        <v>1.0342039749739365</v>
      </c>
      <c r="T43">
        <v>0</v>
      </c>
      <c r="U43">
        <v>1</v>
      </c>
      <c r="V43">
        <v>118.1</v>
      </c>
      <c r="W43">
        <v>3.1</v>
      </c>
      <c r="X43">
        <v>0</v>
      </c>
      <c r="Y43" t="s">
        <v>193</v>
      </c>
    </row>
    <row r="44" spans="1:25" x14ac:dyDescent="0.25">
      <c r="A44" t="s">
        <v>72</v>
      </c>
      <c r="B44">
        <v>97.960131788799899</v>
      </c>
      <c r="C44">
        <v>7.9282199653758559E-2</v>
      </c>
      <c r="D44">
        <v>8.6401855669597238E-2</v>
      </c>
      <c r="E44">
        <v>2.0408149999999998</v>
      </c>
      <c r="F44">
        <v>59963.848104999997</v>
      </c>
      <c r="G44">
        <v>1228.7386919999999</v>
      </c>
      <c r="H44" t="s">
        <v>30</v>
      </c>
      <c r="I44" t="s">
        <v>32</v>
      </c>
      <c r="J44" t="s">
        <v>30</v>
      </c>
      <c r="K44" t="s">
        <v>32</v>
      </c>
      <c r="L44" t="str">
        <f>VLOOKUP(A44,MultimodalConnectivity_Corridor!$A$2:$K$57,11,FALSE)</f>
        <v>Med</v>
      </c>
      <c r="M44">
        <f>VLOOKUP(A44,[2]METRICS!$AA$2:$AC$70,3,FALSE)</f>
        <v>116692.90850510291</v>
      </c>
      <c r="N44">
        <f>VLOOKUP(A44,[2]METRICS!$AA$2:$AD$70,4,FALSE)</f>
        <v>0.88504700000000003</v>
      </c>
      <c r="O44">
        <v>0</v>
      </c>
      <c r="P44">
        <v>69.807083000000006</v>
      </c>
      <c r="Q44">
        <v>8.3115380000000005</v>
      </c>
      <c r="R44">
        <v>1.2745206364959529</v>
      </c>
      <c r="S44">
        <v>1.0440807768961031</v>
      </c>
      <c r="T44">
        <v>1</v>
      </c>
      <c r="U44">
        <v>1</v>
      </c>
      <c r="V44">
        <v>487.85</v>
      </c>
      <c r="W44">
        <v>5.2</v>
      </c>
      <c r="X44">
        <v>8</v>
      </c>
      <c r="Y44" t="s">
        <v>193</v>
      </c>
    </row>
    <row r="45" spans="1:25" x14ac:dyDescent="0.25">
      <c r="A45" t="s">
        <v>73</v>
      </c>
      <c r="B45">
        <v>107.274382185999</v>
      </c>
      <c r="C45">
        <v>0.11250327690766002</v>
      </c>
      <c r="D45">
        <v>0.1362404554643302</v>
      </c>
      <c r="E45">
        <v>1.2594050000000001</v>
      </c>
      <c r="F45">
        <v>573.70345899999995</v>
      </c>
      <c r="G45">
        <v>271.25698999999997</v>
      </c>
      <c r="H45" t="s">
        <v>32</v>
      </c>
      <c r="I45" t="s">
        <v>30</v>
      </c>
      <c r="J45" t="s">
        <v>30</v>
      </c>
      <c r="K45" t="s">
        <v>30</v>
      </c>
      <c r="L45" t="str">
        <f>VLOOKUP(A45,MultimodalConnectivity_Corridor!$A$2:$K$57,11,FALSE)</f>
        <v>Med</v>
      </c>
      <c r="M45">
        <f>VLOOKUP(A45,[2]METRICS!$AA$2:$AC$70,3,FALSE)</f>
        <v>8607.5213936589462</v>
      </c>
      <c r="N45">
        <f>VLOOKUP(A45,[2]METRICS!$AA$2:$AD$70,4,FALSE)</f>
        <v>0.23055400000000001</v>
      </c>
      <c r="O45">
        <v>1</v>
      </c>
      <c r="P45">
        <v>67.213716000000005</v>
      </c>
      <c r="Q45">
        <v>9.4664029999999997</v>
      </c>
      <c r="R45">
        <v>1.2731606505448048</v>
      </c>
      <c r="S45">
        <v>1.018007352134833</v>
      </c>
      <c r="T45">
        <v>0</v>
      </c>
      <c r="U45">
        <v>1.0023072296952673</v>
      </c>
      <c r="V45">
        <v>448.5</v>
      </c>
      <c r="W45">
        <v>7.2</v>
      </c>
      <c r="X45">
        <v>6</v>
      </c>
      <c r="Y45" t="s">
        <v>30</v>
      </c>
    </row>
    <row r="46" spans="1:25" x14ac:dyDescent="0.25">
      <c r="A46" t="s">
        <v>74</v>
      </c>
      <c r="B46">
        <v>114.62000684900001</v>
      </c>
      <c r="C46">
        <v>4.0633745499463844E-2</v>
      </c>
      <c r="D46">
        <v>8.4689335309889979E-2</v>
      </c>
      <c r="E46">
        <v>1.620733</v>
      </c>
      <c r="F46">
        <v>3069.5858320000002</v>
      </c>
      <c r="G46">
        <v>355.23750799999999</v>
      </c>
      <c r="H46" t="s">
        <v>30</v>
      </c>
      <c r="I46" t="s">
        <v>32</v>
      </c>
      <c r="J46" t="s">
        <v>30</v>
      </c>
      <c r="K46" t="s">
        <v>32</v>
      </c>
      <c r="L46" t="str">
        <f>VLOOKUP(A46,MultimodalConnectivity_Corridor!$A$2:$K$57,11,FALSE)</f>
        <v>High</v>
      </c>
      <c r="M46">
        <f>VLOOKUP(A46,[2]METRICS!$AA$2:$AC$70,3,FALSE)</f>
        <v>2436891.300013497</v>
      </c>
      <c r="N46">
        <f>VLOOKUP(A46,[2]METRICS!$AA$2:$AD$70,4,FALSE)</f>
        <v>4.6974629999999999</v>
      </c>
      <c r="O46">
        <v>1</v>
      </c>
      <c r="P46">
        <v>56.642718000000002</v>
      </c>
      <c r="Q46">
        <v>11.385057</v>
      </c>
      <c r="R46">
        <v>1.5564283259837028</v>
      </c>
      <c r="S46">
        <v>1.0262012229727373</v>
      </c>
      <c r="T46">
        <v>0</v>
      </c>
      <c r="U46">
        <v>1.0263187521935233</v>
      </c>
      <c r="V46">
        <v>276.14999999999998</v>
      </c>
      <c r="W46">
        <v>16.3</v>
      </c>
      <c r="X46">
        <v>8</v>
      </c>
      <c r="Y46" t="s">
        <v>32</v>
      </c>
    </row>
    <row r="47" spans="1:25" x14ac:dyDescent="0.25">
      <c r="A47" t="s">
        <v>75</v>
      </c>
      <c r="B47">
        <v>34.463288233299899</v>
      </c>
      <c r="C47">
        <v>6.3716346805371096E-2</v>
      </c>
      <c r="D47">
        <v>6.5010448782933494E-2</v>
      </c>
      <c r="E47">
        <v>2.9408590000000001</v>
      </c>
      <c r="F47">
        <v>397.42720000000003</v>
      </c>
      <c r="G47">
        <v>100.150047</v>
      </c>
      <c r="H47" t="s">
        <v>32</v>
      </c>
      <c r="I47" t="s">
        <v>32</v>
      </c>
      <c r="J47" t="s">
        <v>30</v>
      </c>
      <c r="K47" t="s">
        <v>30</v>
      </c>
      <c r="L47" t="str">
        <f>VLOOKUP(A47,MultimodalConnectivity_Corridor!$A$2:$K$57,11,FALSE)</f>
        <v>High</v>
      </c>
      <c r="M47">
        <f>VLOOKUP(A47,[2]METRICS!$AA$2:$AC$70,3,FALSE)</f>
        <v>14798.043466650141</v>
      </c>
      <c r="N47">
        <f>VLOOKUP(A47,[2]METRICS!$AA$2:$AD$70,4,FALSE)</f>
        <v>2.1683949999999999</v>
      </c>
      <c r="O47">
        <v>0</v>
      </c>
      <c r="P47">
        <v>54.104570000000002</v>
      </c>
      <c r="Q47">
        <v>7.3472910000000002</v>
      </c>
      <c r="R47">
        <v>1.5306508555172684</v>
      </c>
      <c r="S47">
        <v>1.1268566796380868</v>
      </c>
      <c r="T47">
        <v>0</v>
      </c>
      <c r="U47">
        <v>1</v>
      </c>
      <c r="V47">
        <v>336.5</v>
      </c>
      <c r="W47">
        <v>2.9</v>
      </c>
      <c r="X47">
        <v>4</v>
      </c>
      <c r="Y47" t="s">
        <v>193</v>
      </c>
    </row>
    <row r="48" spans="1:25" x14ac:dyDescent="0.25">
      <c r="A48" t="s">
        <v>76</v>
      </c>
      <c r="B48">
        <v>168.085317269</v>
      </c>
      <c r="C48">
        <v>5.2453208502275757E-2</v>
      </c>
      <c r="D48">
        <v>6.1244788538774769E-2</v>
      </c>
      <c r="E48">
        <v>1.9023060000000001</v>
      </c>
      <c r="F48">
        <v>2144.1129219999998</v>
      </c>
      <c r="G48">
        <v>206.50758500000001</v>
      </c>
      <c r="H48" t="s">
        <v>32</v>
      </c>
      <c r="I48" t="s">
        <v>32</v>
      </c>
      <c r="J48" t="s">
        <v>30</v>
      </c>
      <c r="K48" t="s">
        <v>32</v>
      </c>
      <c r="L48" t="str">
        <f>VLOOKUP(A48,MultimodalConnectivity_Corridor!$A$2:$K$57,11,FALSE)</f>
        <v>High</v>
      </c>
      <c r="M48">
        <f>VLOOKUP(A48,[2]METRICS!$AA$2:$AC$70,3,FALSE)</f>
        <v>3745.3420374828488</v>
      </c>
      <c r="N48">
        <f>VLOOKUP(A48,[2]METRICS!$AA$2:$AD$70,4,FALSE)</f>
        <v>2.2199800000000001</v>
      </c>
      <c r="O48">
        <v>0</v>
      </c>
      <c r="P48">
        <v>85.035593000000006</v>
      </c>
      <c r="Q48">
        <v>7.3913039999999999</v>
      </c>
      <c r="R48">
        <v>1.2039986913950795</v>
      </c>
      <c r="S48">
        <v>1.0380974426307559</v>
      </c>
      <c r="T48">
        <v>1</v>
      </c>
      <c r="U48">
        <v>1</v>
      </c>
      <c r="V48">
        <v>156.65</v>
      </c>
      <c r="W48">
        <v>2.2999999999999998</v>
      </c>
      <c r="X48">
        <v>2</v>
      </c>
      <c r="Y48" t="s">
        <v>32</v>
      </c>
    </row>
    <row r="49" spans="1:25" x14ac:dyDescent="0.25">
      <c r="A49" t="s">
        <v>77</v>
      </c>
      <c r="B49">
        <v>108.143126791</v>
      </c>
      <c r="C49">
        <v>0.38510698651260694</v>
      </c>
      <c r="D49">
        <v>0.32300499715165731</v>
      </c>
      <c r="E49">
        <v>1.5714889999999999</v>
      </c>
      <c r="F49">
        <v>6212.3092779999997</v>
      </c>
      <c r="G49">
        <v>732.05425400000001</v>
      </c>
      <c r="H49" t="s">
        <v>32</v>
      </c>
      <c r="I49" t="s">
        <v>32</v>
      </c>
      <c r="J49" t="s">
        <v>32</v>
      </c>
      <c r="K49" t="s">
        <v>32</v>
      </c>
      <c r="L49" t="str">
        <f>VLOOKUP(A49,MultimodalConnectivity_Corridor!$A$2:$K$57,11,FALSE)</f>
        <v>High</v>
      </c>
      <c r="M49">
        <f>VLOOKUP(A49,[2]METRICS!$AA$2:$AC$70,3,FALSE)</f>
        <v>17154.960856331476</v>
      </c>
      <c r="N49">
        <f>VLOOKUP(A49,[2]METRICS!$AA$2:$AD$70,4,FALSE)</f>
        <v>6.3847757096812821</v>
      </c>
      <c r="O49">
        <v>1</v>
      </c>
      <c r="P49">
        <v>88.159749000000005</v>
      </c>
      <c r="Q49">
        <v>10.52819</v>
      </c>
      <c r="R49">
        <v>1.1834694587836405</v>
      </c>
      <c r="S49">
        <v>1.0311855801947623</v>
      </c>
      <c r="T49">
        <v>0</v>
      </c>
      <c r="U49">
        <v>1</v>
      </c>
      <c r="V49">
        <v>533.04999999999995</v>
      </c>
      <c r="W49">
        <v>6.9</v>
      </c>
      <c r="X49">
        <v>2</v>
      </c>
      <c r="Y49" t="s">
        <v>32</v>
      </c>
    </row>
    <row r="50" spans="1:25" x14ac:dyDescent="0.25">
      <c r="A50" t="s">
        <v>78</v>
      </c>
      <c r="B50">
        <v>32.8099010761999</v>
      </c>
      <c r="C50">
        <v>5.3595825049229065E-2</v>
      </c>
      <c r="D50">
        <v>6.3880907162532419E-2</v>
      </c>
      <c r="E50">
        <v>1.8571040000000001</v>
      </c>
      <c r="F50">
        <v>648.96084299999995</v>
      </c>
      <c r="G50">
        <v>1325.9280140000001</v>
      </c>
      <c r="H50" t="s">
        <v>32</v>
      </c>
      <c r="I50" t="s">
        <v>32</v>
      </c>
      <c r="J50" t="s">
        <v>30</v>
      </c>
      <c r="K50" t="s">
        <v>30</v>
      </c>
      <c r="L50" t="str">
        <f>VLOOKUP(A50,MultimodalConnectivity_Corridor!$A$2:$K$57,11,FALSE)</f>
        <v>Med</v>
      </c>
      <c r="M50">
        <f>VLOOKUP(A50,[2]METRICS!$AA$2:$AC$70,3,FALSE)</f>
        <v>5204.7003389323081</v>
      </c>
      <c r="N50">
        <f>VLOOKUP(A50,[2]METRICS!$AA$2:$AD$70,4,FALSE)</f>
        <v>1.9370982293976058</v>
      </c>
      <c r="O50">
        <v>1</v>
      </c>
      <c r="P50">
        <v>100</v>
      </c>
      <c r="Q50">
        <v>9</v>
      </c>
      <c r="R50">
        <v>1.0549919048713572</v>
      </c>
      <c r="S50">
        <v>1.0298849453978158</v>
      </c>
      <c r="T50">
        <v>0</v>
      </c>
      <c r="U50">
        <v>1.1742389335485459</v>
      </c>
      <c r="V50">
        <v>226.6</v>
      </c>
      <c r="W50">
        <v>1.9</v>
      </c>
      <c r="X50">
        <v>3</v>
      </c>
      <c r="Y50" t="s">
        <v>30</v>
      </c>
    </row>
    <row r="51" spans="1:25" x14ac:dyDescent="0.25">
      <c r="A51" t="s">
        <v>79</v>
      </c>
      <c r="B51">
        <v>190.605222900999</v>
      </c>
      <c r="C51">
        <v>0.14201273201396539</v>
      </c>
      <c r="D51">
        <v>0.23878668330940053</v>
      </c>
      <c r="E51">
        <v>1.590433</v>
      </c>
      <c r="F51">
        <v>1894.0990609999999</v>
      </c>
      <c r="G51">
        <v>516.40355799999998</v>
      </c>
      <c r="H51" t="s">
        <v>32</v>
      </c>
      <c r="I51" t="s">
        <v>32</v>
      </c>
      <c r="J51" t="s">
        <v>30</v>
      </c>
      <c r="K51" t="s">
        <v>30</v>
      </c>
      <c r="L51" t="str">
        <f>VLOOKUP(A51,MultimodalConnectivity_Corridor!$A$2:$K$57,11,FALSE)</f>
        <v>Med</v>
      </c>
      <c r="M51">
        <f>VLOOKUP(A51,[2]METRICS!$AA$2:$AC$70,3,FALSE)</f>
        <v>30236.088366469339</v>
      </c>
      <c r="N51">
        <f>VLOOKUP(A51,[2]METRICS!$AA$2:$AD$70,4,FALSE)</f>
        <v>11.25334206092111</v>
      </c>
      <c r="O51">
        <v>1</v>
      </c>
      <c r="P51">
        <v>24.549339</v>
      </c>
      <c r="Q51">
        <v>7.6852999999999998</v>
      </c>
      <c r="R51">
        <v>1.1013082606904825</v>
      </c>
      <c r="S51">
        <v>1.1443490384840367</v>
      </c>
      <c r="T51">
        <v>0</v>
      </c>
      <c r="U51">
        <v>1</v>
      </c>
      <c r="V51">
        <v>601.54999999999995</v>
      </c>
      <c r="W51">
        <v>13.1</v>
      </c>
      <c r="X51">
        <v>10</v>
      </c>
      <c r="Y51" t="s">
        <v>193</v>
      </c>
    </row>
    <row r="52" spans="1:25" x14ac:dyDescent="0.25">
      <c r="A52" t="s">
        <v>80</v>
      </c>
      <c r="B52">
        <v>206.581413717</v>
      </c>
      <c r="C52">
        <v>0.24209926299129245</v>
      </c>
      <c r="D52">
        <v>0.25595072662920121</v>
      </c>
      <c r="E52">
        <v>1.3569599999999999</v>
      </c>
      <c r="F52">
        <v>4886.8723719999998</v>
      </c>
      <c r="G52">
        <v>452.00626799999998</v>
      </c>
      <c r="H52" t="s">
        <v>30</v>
      </c>
      <c r="I52" t="s">
        <v>32</v>
      </c>
      <c r="J52" t="s">
        <v>30</v>
      </c>
      <c r="K52" t="s">
        <v>32</v>
      </c>
      <c r="L52" t="str">
        <f>VLOOKUP(A52,MultimodalConnectivity_Corridor!$A$2:$K$57,11,FALSE)</f>
        <v>High</v>
      </c>
      <c r="M52">
        <f>VLOOKUP(A52,[2]METRICS!$AA$2:$AC$70,3,FALSE)</f>
        <v>41987.057311968048</v>
      </c>
      <c r="N52">
        <f>VLOOKUP(A52,[2]METRICS!$AA$2:$AD$70,4,FALSE)</f>
        <v>4.0078476404312759</v>
      </c>
      <c r="O52">
        <v>0</v>
      </c>
      <c r="P52">
        <v>28.862358</v>
      </c>
      <c r="Q52">
        <v>7.714493</v>
      </c>
      <c r="R52">
        <v>1.1369897780361773</v>
      </c>
      <c r="S52">
        <v>1.0611482657140316</v>
      </c>
      <c r="T52">
        <v>1</v>
      </c>
      <c r="U52">
        <v>1.0377639572631132</v>
      </c>
      <c r="V52">
        <v>654</v>
      </c>
      <c r="W52">
        <v>7</v>
      </c>
      <c r="X52">
        <v>7</v>
      </c>
      <c r="Y52" t="s">
        <v>193</v>
      </c>
    </row>
    <row r="53" spans="1:25" x14ac:dyDescent="0.25">
      <c r="A53" t="s">
        <v>81</v>
      </c>
      <c r="B53">
        <v>195.19672245000001</v>
      </c>
      <c r="C53">
        <v>2.0897731215814234E-2</v>
      </c>
      <c r="D53">
        <v>1.2554552010443866E-2</v>
      </c>
      <c r="E53">
        <v>1.8643529999999999</v>
      </c>
      <c r="F53">
        <v>285.12941799999999</v>
      </c>
      <c r="G53">
        <v>99.844666000000004</v>
      </c>
      <c r="H53" t="s">
        <v>32</v>
      </c>
      <c r="I53" t="s">
        <v>32</v>
      </c>
      <c r="J53" t="s">
        <v>30</v>
      </c>
      <c r="K53" t="s">
        <v>32</v>
      </c>
      <c r="L53" t="str">
        <f>VLOOKUP(A53,MultimodalConnectivity_Corridor!$A$2:$K$57,11,FALSE)</f>
        <v>High</v>
      </c>
      <c r="M53">
        <f>VLOOKUP(A53,[2]METRICS!$AA$2:$AC$70,3,FALSE)</f>
        <v>39673.152706002737</v>
      </c>
      <c r="N53">
        <f>VLOOKUP(A53,[2]METRICS!$AA$2:$AD$70,4,FALSE)</f>
        <v>3.7869753595687232</v>
      </c>
      <c r="O53">
        <v>0</v>
      </c>
      <c r="P53">
        <v>85.831629000000007</v>
      </c>
      <c r="Q53">
        <v>8.3712689999999998</v>
      </c>
      <c r="R53">
        <v>1.1450559393321624</v>
      </c>
      <c r="S53">
        <v>1.043765766278157</v>
      </c>
      <c r="T53">
        <v>1</v>
      </c>
      <c r="U53">
        <v>1</v>
      </c>
      <c r="V53">
        <v>258.8</v>
      </c>
      <c r="W53">
        <v>3.8</v>
      </c>
      <c r="X53">
        <v>9</v>
      </c>
      <c r="Y53" t="s">
        <v>193</v>
      </c>
    </row>
    <row r="54" spans="1:25" x14ac:dyDescent="0.25">
      <c r="A54" t="s">
        <v>82</v>
      </c>
      <c r="B54">
        <v>122.665972260999</v>
      </c>
      <c r="C54">
        <v>2.4288786490366365E-2</v>
      </c>
      <c r="D54">
        <v>2.6755980167030662E-2</v>
      </c>
      <c r="E54">
        <v>1.645338</v>
      </c>
      <c r="F54">
        <v>756.64651300000003</v>
      </c>
      <c r="G54">
        <v>1108.3358009999999</v>
      </c>
      <c r="H54" t="s">
        <v>32</v>
      </c>
      <c r="I54" t="s">
        <v>32</v>
      </c>
      <c r="J54" t="s">
        <v>30</v>
      </c>
      <c r="K54" t="s">
        <v>32</v>
      </c>
      <c r="L54" t="str">
        <f>VLOOKUP(A54,MultimodalConnectivity_Corridor!$A$2:$K$57,11,FALSE)</f>
        <v>Low</v>
      </c>
      <c r="M54">
        <f>VLOOKUP(A54,[2]METRICS!$AA$2:$AC$70,3,FALSE)</f>
        <v>2517.1497562360491</v>
      </c>
      <c r="N54">
        <f>VLOOKUP(A54,[2]METRICS!$AA$2:$AD$70,4,FALSE)</f>
        <v>4.4820149999999996</v>
      </c>
      <c r="O54">
        <v>0</v>
      </c>
      <c r="P54">
        <v>96.567592000000005</v>
      </c>
      <c r="Q54">
        <v>6.9832400000000003</v>
      </c>
      <c r="R54">
        <v>1.0176321495156497</v>
      </c>
      <c r="S54">
        <v>1.0826877687975982</v>
      </c>
      <c r="T54">
        <v>0</v>
      </c>
      <c r="U54">
        <v>1</v>
      </c>
      <c r="V54">
        <v>224.8</v>
      </c>
      <c r="W54">
        <v>1.4</v>
      </c>
      <c r="X54">
        <v>4</v>
      </c>
      <c r="Y54" t="s">
        <v>32</v>
      </c>
    </row>
    <row r="55" spans="1:25" x14ac:dyDescent="0.25">
      <c r="A55" t="s">
        <v>83</v>
      </c>
      <c r="B55">
        <v>123.780828525</v>
      </c>
      <c r="C55">
        <v>9.8757437302769049E-2</v>
      </c>
      <c r="D55">
        <v>0.11393224274935648</v>
      </c>
      <c r="E55">
        <v>1.578946</v>
      </c>
      <c r="F55">
        <v>476.06241299999999</v>
      </c>
      <c r="G55">
        <v>134.98706799999999</v>
      </c>
      <c r="H55" t="s">
        <v>32</v>
      </c>
      <c r="I55" t="s">
        <v>30</v>
      </c>
      <c r="J55" t="s">
        <v>30</v>
      </c>
      <c r="K55" t="s">
        <v>30</v>
      </c>
      <c r="L55" t="str">
        <f>VLOOKUP(A55,MultimodalConnectivity_Corridor!$A$2:$K$57,11,FALSE)</f>
        <v>Med</v>
      </c>
      <c r="M55">
        <f>VLOOKUP(A55,[2]METRICS!$AA$2:$AC$70,3,FALSE)</f>
        <v>30853.02252124334</v>
      </c>
      <c r="N55">
        <f>VLOOKUP(A55,[2]METRICS!$AA$2:$AD$70,4,FALSE)</f>
        <v>2.3370305956571729</v>
      </c>
      <c r="O55">
        <v>0</v>
      </c>
      <c r="P55">
        <v>80.662585000000007</v>
      </c>
      <c r="Q55">
        <v>6.9117649999999999</v>
      </c>
      <c r="R55">
        <v>1.0124992313458365</v>
      </c>
      <c r="S55">
        <v>1.078483713044972</v>
      </c>
      <c r="T55">
        <v>0</v>
      </c>
      <c r="U55">
        <v>1</v>
      </c>
      <c r="V55">
        <v>228.45</v>
      </c>
      <c r="W55">
        <v>1.3</v>
      </c>
      <c r="X55">
        <v>3</v>
      </c>
      <c r="Y55" t="s">
        <v>193</v>
      </c>
    </row>
    <row r="56" spans="1:25" x14ac:dyDescent="0.25">
      <c r="A56" t="s">
        <v>84</v>
      </c>
      <c r="B56">
        <v>96.577199252</v>
      </c>
      <c r="C56">
        <v>0.16135566425189504</v>
      </c>
      <c r="D56">
        <v>0.11479136874344896</v>
      </c>
      <c r="E56">
        <v>1.511663</v>
      </c>
      <c r="F56">
        <v>3732.3383429999999</v>
      </c>
      <c r="G56">
        <v>630.48683900000003</v>
      </c>
      <c r="H56" t="s">
        <v>32</v>
      </c>
      <c r="I56" t="s">
        <v>30</v>
      </c>
      <c r="J56" t="s">
        <v>30</v>
      </c>
      <c r="K56" t="s">
        <v>30</v>
      </c>
      <c r="L56" t="str">
        <f>VLOOKUP(A56,MultimodalConnectivity_Corridor!$A$2:$K$57,11,FALSE)</f>
        <v>High</v>
      </c>
      <c r="M56">
        <f>VLOOKUP(A56,[2]METRICS!$AA$2:$AC$70,3,FALSE)</f>
        <v>24072.374850510489</v>
      </c>
      <c r="N56">
        <f>VLOOKUP(A56,[2]METRICS!$AA$2:$AD$70,4,FALSE)</f>
        <v>1.8234154043428272</v>
      </c>
      <c r="O56">
        <v>0</v>
      </c>
      <c r="P56">
        <v>80.129569000000004</v>
      </c>
      <c r="Q56">
        <v>6.7715360000000002</v>
      </c>
      <c r="R56">
        <v>1.2113242376535793</v>
      </c>
      <c r="S56">
        <v>1.085973401839599</v>
      </c>
      <c r="T56">
        <v>0</v>
      </c>
      <c r="U56">
        <v>1.0208713354660401</v>
      </c>
      <c r="V56">
        <v>333.1</v>
      </c>
      <c r="W56">
        <v>5.7</v>
      </c>
      <c r="X56">
        <v>7</v>
      </c>
      <c r="Y56" t="s">
        <v>193</v>
      </c>
    </row>
    <row r="57" spans="1:25" x14ac:dyDescent="0.25">
      <c r="A57" t="s">
        <v>85</v>
      </c>
      <c r="B57">
        <v>169.551014127</v>
      </c>
      <c r="C57">
        <v>2.7272963307612981E-2</v>
      </c>
      <c r="D57">
        <v>2.5525295033680541E-2</v>
      </c>
      <c r="E57">
        <v>1.3469530000000001</v>
      </c>
      <c r="F57">
        <v>1327.862085</v>
      </c>
      <c r="G57">
        <v>607.89157299999999</v>
      </c>
      <c r="H57" t="s">
        <v>30</v>
      </c>
      <c r="I57" t="s">
        <v>32</v>
      </c>
      <c r="J57" t="s">
        <v>30</v>
      </c>
      <c r="K57" t="s">
        <v>32</v>
      </c>
      <c r="L57" t="str">
        <f>VLOOKUP(A57,MultimodalConnectivity_Corridor!$A$2:$K$57,11,FALSE)</f>
        <v>Med</v>
      </c>
      <c r="M57">
        <f>VLOOKUP(A57,[2]METRICS!$AA$2:$AC$70,3,FALSE)</f>
        <v>38818.804171956632</v>
      </c>
      <c r="N57">
        <f>VLOOKUP(A57,[2]METRICS!$AA$2:$AD$70,4,FALSE)</f>
        <v>10.17557</v>
      </c>
      <c r="O57">
        <v>0</v>
      </c>
      <c r="P57">
        <v>78.612932000000001</v>
      </c>
      <c r="Q57">
        <v>6.5677969999999997</v>
      </c>
      <c r="R57">
        <v>1.2670308637543597</v>
      </c>
      <c r="S57">
        <v>1.0451208949010351</v>
      </c>
      <c r="T57">
        <v>0</v>
      </c>
      <c r="U57">
        <v>1.0025338464977325</v>
      </c>
      <c r="V57">
        <v>136.15</v>
      </c>
      <c r="W57">
        <v>6</v>
      </c>
      <c r="X57">
        <v>6</v>
      </c>
      <c r="Y57" t="s">
        <v>32</v>
      </c>
    </row>
    <row r="58" spans="1:25" x14ac:dyDescent="0.25">
      <c r="A58" t="s">
        <v>86</v>
      </c>
      <c r="B58">
        <v>97.141262682700003</v>
      </c>
      <c r="C58">
        <v>8.9422395694322671E-2</v>
      </c>
      <c r="D58">
        <v>0.10766483262641485</v>
      </c>
      <c r="E58">
        <v>2.1254490000000001</v>
      </c>
      <c r="F58">
        <v>2391.8473290000002</v>
      </c>
      <c r="G58">
        <v>1210.894988</v>
      </c>
      <c r="H58" t="s">
        <v>32</v>
      </c>
      <c r="I58" t="s">
        <v>32</v>
      </c>
      <c r="J58" t="s">
        <v>32</v>
      </c>
      <c r="K58" t="s">
        <v>32</v>
      </c>
      <c r="L58" t="str">
        <f>VLOOKUP(A58,MultimodalConnectivity_Corridor!$A$2:$K$57,11,FALSE)</f>
        <v>Med</v>
      </c>
      <c r="M58">
        <f>VLOOKUP(A58,[2]METRICS!$AA$2:$AC$70,3,FALSE)</f>
        <v>9416.6644037723836</v>
      </c>
      <c r="N58">
        <f>VLOOKUP(A58,[2]METRICS!$AA$2:$AD$70,4,FALSE)</f>
        <v>2.6114850000000001</v>
      </c>
      <c r="O58">
        <v>0</v>
      </c>
      <c r="P58">
        <v>62.757091000000003</v>
      </c>
      <c r="Q58">
        <v>9.2847679999999997</v>
      </c>
      <c r="R58">
        <v>1.0774793104304323</v>
      </c>
      <c r="S58">
        <v>1.002343157875931</v>
      </c>
      <c r="T58">
        <v>0</v>
      </c>
      <c r="U58">
        <v>1</v>
      </c>
      <c r="V58">
        <v>178.25</v>
      </c>
      <c r="W58">
        <v>2.2999999999999998</v>
      </c>
      <c r="X58">
        <v>4</v>
      </c>
      <c r="Y58" t="s">
        <v>193</v>
      </c>
    </row>
  </sheetData>
  <autoFilter ref="A2:Y58" xr:uid="{B525D399-F4D5-45F0-8B82-D4C7EE7CED31}"/>
  <mergeCells count="4">
    <mergeCell ref="C1:L1"/>
    <mergeCell ref="M1:N1"/>
    <mergeCell ref="O1:U1"/>
    <mergeCell ref="V1:Y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49B7C-4867-4338-8886-DD25A95BC40C}">
  <dimension ref="A1:AD58"/>
  <sheetViews>
    <sheetView workbookViewId="0">
      <pane xSplit="1" ySplit="2" topLeftCell="S3" activePane="bottomRight" state="frozen"/>
      <selection pane="topRight" activeCell="B1" sqref="B1"/>
      <selection pane="bottomLeft" activeCell="A3" sqref="A3"/>
      <selection pane="bottomRight" activeCell="A47" sqref="A47"/>
    </sheetView>
  </sheetViews>
  <sheetFormatPr defaultRowHeight="15" x14ac:dyDescent="0.25"/>
  <cols>
    <col min="1" max="1" width="25.5703125" customWidth="1"/>
    <col min="2" max="3" width="15" customWidth="1"/>
    <col min="4" max="4" width="17.28515625" customWidth="1"/>
    <col min="5" max="5" width="20.140625" customWidth="1"/>
    <col min="6" max="6" width="21.140625" customWidth="1"/>
    <col min="7" max="7" width="23.28515625" customWidth="1"/>
    <col min="8" max="10" width="20.5703125" customWidth="1"/>
    <col min="11" max="11" width="24.7109375" customWidth="1"/>
    <col min="12" max="13" width="15" customWidth="1"/>
    <col min="14" max="14" width="23.140625" customWidth="1"/>
    <col min="15" max="15" width="21.7109375" customWidth="1"/>
    <col min="16" max="16" width="34.5703125" customWidth="1"/>
    <col min="17" max="17" width="19.5703125" customWidth="1"/>
    <col min="18" max="18" width="20" bestFit="1" customWidth="1"/>
    <col min="19" max="19" width="20" customWidth="1"/>
    <col min="20" max="20" width="19.85546875" customWidth="1"/>
    <col min="21" max="21" width="15" customWidth="1"/>
    <col min="22" max="22" width="31" customWidth="1"/>
    <col min="23" max="23" width="33.5703125" bestFit="1" customWidth="1"/>
    <col min="24" max="24" width="30.85546875" bestFit="1" customWidth="1"/>
    <col min="25" max="25" width="15.28515625" customWidth="1"/>
    <col min="26" max="26" width="20.7109375" customWidth="1"/>
    <col min="29" max="29" width="22" customWidth="1"/>
  </cols>
  <sheetData>
    <row r="1" spans="1:30" x14ac:dyDescent="0.25">
      <c r="C1" s="108" t="s">
        <v>0</v>
      </c>
      <c r="D1" s="108"/>
      <c r="E1" s="108"/>
      <c r="F1" s="108"/>
      <c r="G1" s="108"/>
      <c r="H1" s="108"/>
      <c r="I1" s="108"/>
      <c r="J1" s="108"/>
      <c r="K1" s="108"/>
      <c r="L1" s="108"/>
      <c r="M1" s="108" t="s">
        <v>1</v>
      </c>
      <c r="N1" s="108"/>
      <c r="O1" s="108" t="s">
        <v>2</v>
      </c>
      <c r="P1" s="108"/>
      <c r="Q1" s="108"/>
      <c r="R1" s="108"/>
      <c r="S1" s="108"/>
      <c r="T1" s="108"/>
      <c r="U1" s="108"/>
      <c r="V1" s="108" t="s">
        <v>3</v>
      </c>
      <c r="W1" s="108"/>
      <c r="X1" s="108"/>
      <c r="Y1" s="108"/>
    </row>
    <row r="2" spans="1:30" x14ac:dyDescent="0.25">
      <c r="A2" t="s">
        <v>4</v>
      </c>
      <c r="B2" t="s">
        <v>95</v>
      </c>
      <c r="C2" t="s">
        <v>5</v>
      </c>
      <c r="D2" t="s">
        <v>6</v>
      </c>
      <c r="E2" t="s">
        <v>8</v>
      </c>
      <c r="F2" t="s">
        <v>9</v>
      </c>
      <c r="G2" t="s">
        <v>10</v>
      </c>
      <c r="H2" s="2" t="s">
        <v>180</v>
      </c>
      <c r="I2" s="2" t="s">
        <v>181</v>
      </c>
      <c r="J2" s="2" t="s">
        <v>183</v>
      </c>
      <c r="K2" s="2" t="s">
        <v>185</v>
      </c>
      <c r="L2" t="s">
        <v>87</v>
      </c>
      <c r="M2" s="2" t="s">
        <v>94</v>
      </c>
      <c r="N2" s="2" t="s">
        <v>93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24</v>
      </c>
      <c r="W2" t="s">
        <v>25</v>
      </c>
      <c r="X2" t="s">
        <v>26</v>
      </c>
      <c r="Y2" t="s">
        <v>223</v>
      </c>
      <c r="Z2" t="s">
        <v>234</v>
      </c>
      <c r="AA2" t="s">
        <v>235</v>
      </c>
      <c r="AB2" t="s">
        <v>236</v>
      </c>
      <c r="AC2" t="s">
        <v>237</v>
      </c>
      <c r="AD2" t="s">
        <v>238</v>
      </c>
    </row>
    <row r="3" spans="1:30" x14ac:dyDescent="0.25">
      <c r="A3" t="s">
        <v>28</v>
      </c>
      <c r="B3">
        <v>12.5623252127999</v>
      </c>
      <c r="C3">
        <f>IF(data_CLEAN!C3&lt;=SCORE_METHOD!$B$7,SCORE_METHOD!$N$6,IF(data_CLEAN!C3&lt;=SCORE_METHOD!$B$8,SCORE_METHOD!$N$7,SCORE_METHOD!$N$8))</f>
        <v>1</v>
      </c>
      <c r="D3">
        <f>IF(data_CLEAN!D3&lt;=SCORE_METHOD!$C$7,SCORE_METHOD!$N$6,IF(data_CLEAN!D3&lt;=SCORE_METHOD!$C$8,SCORE_METHOD!$N$7,SCORE_METHOD!$N$8))</f>
        <v>1</v>
      </c>
      <c r="E3">
        <f>IF(data_CLEAN!E3&lt;=SCORE_METHOD!$D$7,SCORE_METHOD!$N$6,IF(data_CLEAN!E3&lt;=SCORE_METHOD!$D$8,SCORE_METHOD!$N$7,SCORE_METHOD!$N$8))</f>
        <v>1</v>
      </c>
      <c r="F3">
        <f>IF(data_CLEAN!F3&lt;=SCORE_METHOD!$E$7,SCORE_METHOD!$N$6,IF(data_CLEAN!F3&lt;=SCORE_METHOD!$E$8,SCORE_METHOD!$N$7,SCORE_METHOD!$N$8))</f>
        <v>1</v>
      </c>
      <c r="G3">
        <f>IF(data_CLEAN!G3&lt;=SCORE_METHOD!$F$7,SCORE_METHOD!$N$6,IF(data_CLEAN!G3&lt;=SCORE_METHOD!$F$8,SCORE_METHOD!$N$7,SCORE_METHOD!$N$8))</f>
        <v>1</v>
      </c>
      <c r="H3">
        <f>VLOOKUP(data_CLEAN!H3,SCORE_METHOD!$A$13:$B$15,2,FALSE)</f>
        <v>2</v>
      </c>
      <c r="I3">
        <f>VLOOKUP(data_CLEAN!I3,SCORE_METHOD!$A$13:$C$15,3,FALSE)</f>
        <v>2</v>
      </c>
      <c r="J3">
        <f>VLOOKUP(data_CLEAN!J3,SCORE_METHOD!$A$13:$D$15,4,FALSE)</f>
        <v>2</v>
      </c>
      <c r="K3">
        <f>VLOOKUP(data_CLEAN!K3,SCORE_METHOD!$A$13:$E$15,5,FALSE)</f>
        <v>2</v>
      </c>
      <c r="L3">
        <f>VLOOKUP(data_CLEAN!L3,SCORE_METHOD!$A$19:$B$21,2,FALSE)</f>
        <v>3</v>
      </c>
      <c r="M3">
        <f>IF(data_CLEAN!M3&lt;=SCORE_METHOD!$G$7,SCORE_METHOD!$N$6,IF(data_CLEAN!M3&lt;=SCORE_METHOD!$G$8,SCORE_METHOD!$N$7,SCORE_METHOD!$N$8))</f>
        <v>1</v>
      </c>
      <c r="N3">
        <f>IF(data_CLEAN!N3&lt;=SCORE_METHOD!$H$7,SCORE_METHOD!$N$6,IF(data_CLEAN!N3&lt;=SCORE_METHOD!$H$8,SCORE_METHOD!$N$7,SCORE_METHOD!$N$8))</f>
        <v>1</v>
      </c>
      <c r="O3">
        <f>VLOOKUP(data_CLEAN!O3,SCORE_METHOD!$A$25:$C$26,3,FALSE)</f>
        <v>1</v>
      </c>
      <c r="P3">
        <f>IF(data_CLEAN!P3&lt;=SCORE_METHOD!$I$7,SCORE_METHOD!$N$6,IF(data_CLEAN!P3&lt;=SCORE_METHOD!$I$8,SCORE_METHOD!$N$7,SCORE_METHOD!$N$8))</f>
        <v>3</v>
      </c>
      <c r="Q3">
        <f>IF(data_CLEAN!Q3&lt;=SCORE_METHOD!$B$31,SCORE_METHOD!$C$30,IF(data_CLEAN!Q3&lt;=SCORE_METHOD!$B$32,SCORE_METHOD!$C$31,SCORE_METHOD!$C$32))</f>
        <v>3</v>
      </c>
      <c r="R3">
        <f>IF(data_CLEAN!R3&lt;=SCORE_METHOD!$J$7,SCORE_METHOD!$N$6,IF(data_CLEAN!S3&lt;=SCORE_METHOD!$J$8,SCORE_METHOD!$N$7,SCORE_METHOD!$N$8))</f>
        <v>1</v>
      </c>
      <c r="S3">
        <f>IF(data_CLEAN!S3&lt;=SCORE_METHOD!$D$31,SCORE_METHOD!$E$30,IF(data_CLEAN!S3&lt;=SCORE_METHOD!$D$32,SCORE_METHOD!$E$31,SCORE_METHOD!$E$32))</f>
        <v>1</v>
      </c>
      <c r="T3">
        <f>VLOOKUP(data_CLEAN!T3,SCORE_METHOD!$A$25:$E$26,5,FALSE)</f>
        <v>0</v>
      </c>
      <c r="U3">
        <f>IF(data_CLEAN!U3=1,SCORE_METHOD!$B$37,SCORE_METHOD!$B$38)</f>
        <v>1</v>
      </c>
      <c r="V3">
        <f>IF(data_CLEAN!V3&lt;=SCORE_METHOD!$K$7,SCORE_METHOD!$N$6,IF(data_CLEAN!V3&lt;=SCORE_METHOD!$K$8,SCORE_METHOD!$N$7,SCORE_METHOD!$N$8))</f>
        <v>1</v>
      </c>
      <c r="W3">
        <f>IF(data_CLEAN!W3&lt;=SCORE_METHOD!$L$7,SCORE_METHOD!$N$6,IF(data_CLEAN!W3&lt;=SCORE_METHOD!$L$8,SCORE_METHOD!$N$7,SCORE_METHOD!$N$8))</f>
        <v>1</v>
      </c>
      <c r="X3">
        <f>IF(data_CLEAN!X3&lt;=SCORE_METHOD!$M$7,SCORE_METHOD!$N$6,IF(data_CLEAN!X3&lt;=SCORE_METHOD!$M$8,SCORE_METHOD!$N$7,SCORE_METHOD!$N$8))</f>
        <v>1</v>
      </c>
      <c r="Y3">
        <f>VLOOKUP(data_CLEAN!Y3,SCORE_METHOD!$A$13:$F$15,6,FALSE)</f>
        <v>1</v>
      </c>
      <c r="Z3">
        <f>SUM(C3:L3)*SCORE_METHOD!$E$53</f>
        <v>1.6</v>
      </c>
      <c r="AA3">
        <f>SUM(M3:N3)*SCORE_METHOD!$E$63</f>
        <v>1</v>
      </c>
      <c r="AB3">
        <f>SUM(O3:U3)*SCORE_METHOD!$E$65</f>
        <v>1.4285714285714284</v>
      </c>
      <c r="AC3">
        <f>SUM(V3:Y3)*SCORE_METHOD!$E$72</f>
        <v>1</v>
      </c>
      <c r="AD3">
        <f>Z3*SCORE_METHOD!$C$44+data_SCORING!AA3*SCORE_METHOD!$C$45+data_SCORING!AB3*SCORE_METHOD!$C$46+data_SCORING!AC3*SCORE_METHOD!$C$47</f>
        <v>1.2571428571428571</v>
      </c>
    </row>
    <row r="4" spans="1:30" x14ac:dyDescent="0.25">
      <c r="A4" t="s">
        <v>31</v>
      </c>
      <c r="B4">
        <v>19.5548964086999</v>
      </c>
      <c r="C4">
        <f>IF(data_CLEAN!C4&lt;=SCORE_METHOD!$B$7,SCORE_METHOD!$N$6,IF(data_CLEAN!C4&lt;=SCORE_METHOD!$B$8,SCORE_METHOD!$N$7,SCORE_METHOD!$N$8))</f>
        <v>3</v>
      </c>
      <c r="D4">
        <f>IF(data_CLEAN!D4&lt;=SCORE_METHOD!$C$7,SCORE_METHOD!$N$6,IF(data_CLEAN!D4&lt;=SCORE_METHOD!$C$8,SCORE_METHOD!$N$7,SCORE_METHOD!$N$8))</f>
        <v>3</v>
      </c>
      <c r="E4">
        <f>IF(data_CLEAN!E4&lt;=SCORE_METHOD!$D$7,SCORE_METHOD!$N$6,IF(data_CLEAN!E4&lt;=SCORE_METHOD!$D$8,SCORE_METHOD!$N$7,SCORE_METHOD!$N$8))</f>
        <v>1</v>
      </c>
      <c r="F4">
        <f>IF(data_CLEAN!F4&lt;=SCORE_METHOD!$E$7,SCORE_METHOD!$N$6,IF(data_CLEAN!F4&lt;=SCORE_METHOD!$E$8,SCORE_METHOD!$N$7,SCORE_METHOD!$N$8))</f>
        <v>1</v>
      </c>
      <c r="G4">
        <f>IF(data_CLEAN!G4&lt;=SCORE_METHOD!$F$7,SCORE_METHOD!$N$6,IF(data_CLEAN!G4&lt;=SCORE_METHOD!$F$8,SCORE_METHOD!$N$7,SCORE_METHOD!$N$8))</f>
        <v>1</v>
      </c>
      <c r="H4">
        <f>VLOOKUP(data_CLEAN!H4,SCORE_METHOD!$A$13:$B$15,2,FALSE)</f>
        <v>3</v>
      </c>
      <c r="I4">
        <f>VLOOKUP(data_CLEAN!I4,SCORE_METHOD!$A$13:$C$15,3,FALSE)</f>
        <v>3</v>
      </c>
      <c r="J4">
        <f>VLOOKUP(data_CLEAN!J4,SCORE_METHOD!$A$13:$D$15,4,FALSE)</f>
        <v>3</v>
      </c>
      <c r="K4">
        <f>VLOOKUP(data_CLEAN!K4,SCORE_METHOD!$A$13:$E$15,5,FALSE)</f>
        <v>3</v>
      </c>
      <c r="L4">
        <f>VLOOKUP(data_CLEAN!L4,SCORE_METHOD!$A$19:$B$21,2,FALSE)</f>
        <v>3</v>
      </c>
      <c r="M4">
        <f>IF(data_CLEAN!M4&lt;=SCORE_METHOD!$G$7,SCORE_METHOD!$N$6,IF(data_CLEAN!M4&lt;=SCORE_METHOD!$G$8,SCORE_METHOD!$N$7,SCORE_METHOD!$N$8))</f>
        <v>2</v>
      </c>
      <c r="N4">
        <f>IF(data_CLEAN!N4&lt;=SCORE_METHOD!$H$7,SCORE_METHOD!$N$6,IF(data_CLEAN!N4&lt;=SCORE_METHOD!$H$8,SCORE_METHOD!$N$7,SCORE_METHOD!$N$8))</f>
        <v>1</v>
      </c>
      <c r="O4">
        <f>VLOOKUP(data_CLEAN!O4,SCORE_METHOD!$A$25:$C$26,3,FALSE)</f>
        <v>1</v>
      </c>
      <c r="P4">
        <f>IF(data_CLEAN!P4&lt;=SCORE_METHOD!$I$7,SCORE_METHOD!$N$6,IF(data_CLEAN!P4&lt;=SCORE_METHOD!$I$8,SCORE_METHOD!$N$7,SCORE_METHOD!$N$8))</f>
        <v>2</v>
      </c>
      <c r="Q4">
        <f>IF(data_CLEAN!Q4&lt;=SCORE_METHOD!$B$31,SCORE_METHOD!$C$30,IF(data_CLEAN!Q4&lt;=SCORE_METHOD!$B$32,SCORE_METHOD!$C$31,SCORE_METHOD!$C$32))</f>
        <v>2</v>
      </c>
      <c r="R4">
        <f>IF(data_CLEAN!R4&lt;=SCORE_METHOD!$J$7,SCORE_METHOD!$N$6,IF(data_CLEAN!S4&lt;=SCORE_METHOD!$J$8,SCORE_METHOD!$N$7,SCORE_METHOD!$N$8))</f>
        <v>2</v>
      </c>
      <c r="S4">
        <f>IF(data_CLEAN!S4&lt;=SCORE_METHOD!$D$31,SCORE_METHOD!$E$30,IF(data_CLEAN!S4&lt;=SCORE_METHOD!$D$32,SCORE_METHOD!$E$31,SCORE_METHOD!$E$32))</f>
        <v>3</v>
      </c>
      <c r="T4">
        <f>VLOOKUP(data_CLEAN!T4,SCORE_METHOD!$A$25:$E$26,5,FALSE)</f>
        <v>0</v>
      </c>
      <c r="U4">
        <f>IF(data_CLEAN!U4=1,SCORE_METHOD!$B$37,SCORE_METHOD!$B$38)</f>
        <v>0</v>
      </c>
      <c r="V4">
        <f>IF(data_CLEAN!V4&lt;=SCORE_METHOD!$K$7,SCORE_METHOD!$N$6,IF(data_CLEAN!V4&lt;=SCORE_METHOD!$K$8,SCORE_METHOD!$N$7,SCORE_METHOD!$N$8))</f>
        <v>1</v>
      </c>
      <c r="W4">
        <f>IF(data_CLEAN!W4&lt;=SCORE_METHOD!$L$7,SCORE_METHOD!$N$6,IF(data_CLEAN!W4&lt;=SCORE_METHOD!$L$8,SCORE_METHOD!$N$7,SCORE_METHOD!$N$8))</f>
        <v>1</v>
      </c>
      <c r="X4">
        <f>IF(data_CLEAN!X4&lt;=SCORE_METHOD!$M$7,SCORE_METHOD!$N$6,IF(data_CLEAN!X4&lt;=SCORE_METHOD!$M$8,SCORE_METHOD!$N$7,SCORE_METHOD!$N$8))</f>
        <v>1</v>
      </c>
      <c r="Y4">
        <f>VLOOKUP(data_CLEAN!Y4,SCORE_METHOD!$A$13:$F$15,6,FALSE)</f>
        <v>2</v>
      </c>
      <c r="Z4">
        <f>SUM(C4:L4)*SCORE_METHOD!$E$53</f>
        <v>2.4000000000000004</v>
      </c>
      <c r="AA4">
        <f>SUM(M4:N4)*SCORE_METHOD!$E$63</f>
        <v>1.5</v>
      </c>
      <c r="AB4">
        <f>SUM(O4:U4)*SCORE_METHOD!$E$65</f>
        <v>1.4285714285714284</v>
      </c>
      <c r="AC4">
        <f>SUM(V4:Y4)*SCORE_METHOD!$E$72</f>
        <v>1.25</v>
      </c>
      <c r="AD4">
        <f>Z4*SCORE_METHOD!$C$44+data_SCORING!AA4*SCORE_METHOD!$C$45+data_SCORING!AB4*SCORE_METHOD!$C$46+data_SCORING!AC4*SCORE_METHOD!$C$47</f>
        <v>1.6446428571428573</v>
      </c>
    </row>
    <row r="5" spans="1:30" x14ac:dyDescent="0.25">
      <c r="A5" t="s">
        <v>33</v>
      </c>
      <c r="B5">
        <v>13.9860489811</v>
      </c>
      <c r="C5">
        <f>IF(data_CLEAN!C5&lt;=SCORE_METHOD!$B$7,SCORE_METHOD!$N$6,IF(data_CLEAN!C5&lt;=SCORE_METHOD!$B$8,SCORE_METHOD!$N$7,SCORE_METHOD!$N$8))</f>
        <v>2</v>
      </c>
      <c r="D5">
        <f>IF(data_CLEAN!D5&lt;=SCORE_METHOD!$C$7,SCORE_METHOD!$N$6,IF(data_CLEAN!D5&lt;=SCORE_METHOD!$C$8,SCORE_METHOD!$N$7,SCORE_METHOD!$N$8))</f>
        <v>2</v>
      </c>
      <c r="E5">
        <f>IF(data_CLEAN!E5&lt;=SCORE_METHOD!$D$7,SCORE_METHOD!$N$6,IF(data_CLEAN!E5&lt;=SCORE_METHOD!$D$8,SCORE_METHOD!$N$7,SCORE_METHOD!$N$8))</f>
        <v>1</v>
      </c>
      <c r="F5">
        <f>IF(data_CLEAN!F5&lt;=SCORE_METHOD!$E$7,SCORE_METHOD!$N$6,IF(data_CLEAN!F5&lt;=SCORE_METHOD!$E$8,SCORE_METHOD!$N$7,SCORE_METHOD!$N$8))</f>
        <v>1</v>
      </c>
      <c r="G5">
        <f>IF(data_CLEAN!G5&lt;=SCORE_METHOD!$F$7,SCORE_METHOD!$N$6,IF(data_CLEAN!G5&lt;=SCORE_METHOD!$F$8,SCORE_METHOD!$N$7,SCORE_METHOD!$N$8))</f>
        <v>1</v>
      </c>
      <c r="H5">
        <f>VLOOKUP(data_CLEAN!H5,SCORE_METHOD!$A$13:$B$15,2,FALSE)</f>
        <v>1</v>
      </c>
      <c r="I5">
        <f>VLOOKUP(data_CLEAN!I5,SCORE_METHOD!$A$13:$C$15,3,FALSE)</f>
        <v>1</v>
      </c>
      <c r="J5">
        <f>VLOOKUP(data_CLEAN!J5,SCORE_METHOD!$A$13:$D$15,4,FALSE)</f>
        <v>1</v>
      </c>
      <c r="K5">
        <f>VLOOKUP(data_CLEAN!K5,SCORE_METHOD!$A$13:$E$15,5,FALSE)</f>
        <v>1</v>
      </c>
      <c r="L5">
        <f>VLOOKUP(data_CLEAN!L5,SCORE_METHOD!$A$19:$B$21,2,FALSE)</f>
        <v>3</v>
      </c>
      <c r="M5">
        <f>IF(data_CLEAN!M5&lt;=SCORE_METHOD!$G$7,SCORE_METHOD!$N$6,IF(data_CLEAN!M5&lt;=SCORE_METHOD!$G$8,SCORE_METHOD!$N$7,SCORE_METHOD!$N$8))</f>
        <v>2</v>
      </c>
      <c r="N5">
        <f>IF(data_CLEAN!N5&lt;=SCORE_METHOD!$H$7,SCORE_METHOD!$N$6,IF(data_CLEAN!N5&lt;=SCORE_METHOD!$H$8,SCORE_METHOD!$N$7,SCORE_METHOD!$N$8))</f>
        <v>2</v>
      </c>
      <c r="O5">
        <f>VLOOKUP(data_CLEAN!O5,SCORE_METHOD!$A$25:$C$26,3,FALSE)</f>
        <v>1</v>
      </c>
      <c r="P5">
        <f>IF(data_CLEAN!P5&lt;=SCORE_METHOD!$I$7,SCORE_METHOD!$N$6,IF(data_CLEAN!P5&lt;=SCORE_METHOD!$I$8,SCORE_METHOD!$N$7,SCORE_METHOD!$N$8))</f>
        <v>3</v>
      </c>
      <c r="Q5">
        <f>IF(data_CLEAN!Q5&lt;=SCORE_METHOD!$B$31,SCORE_METHOD!$C$30,IF(data_CLEAN!Q5&lt;=SCORE_METHOD!$B$32,SCORE_METHOD!$C$31,SCORE_METHOD!$C$32))</f>
        <v>3</v>
      </c>
      <c r="R5">
        <f>IF(data_CLEAN!R5&lt;=SCORE_METHOD!$J$7,SCORE_METHOD!$N$6,IF(data_CLEAN!S5&lt;=SCORE_METHOD!$J$8,SCORE_METHOD!$N$7,SCORE_METHOD!$N$8))</f>
        <v>2</v>
      </c>
      <c r="S5">
        <f>IF(data_CLEAN!S5&lt;=SCORE_METHOD!$D$31,SCORE_METHOD!$E$30,IF(data_CLEAN!S5&lt;=SCORE_METHOD!$D$32,SCORE_METHOD!$E$31,SCORE_METHOD!$E$32))</f>
        <v>3</v>
      </c>
      <c r="T5">
        <f>VLOOKUP(data_CLEAN!T5,SCORE_METHOD!$A$25:$E$26,5,FALSE)</f>
        <v>0</v>
      </c>
      <c r="U5">
        <f>IF(data_CLEAN!U5=1,SCORE_METHOD!$B$37,SCORE_METHOD!$B$38)</f>
        <v>1</v>
      </c>
      <c r="V5">
        <f>IF(data_CLEAN!V5&lt;=SCORE_METHOD!$K$7,SCORE_METHOD!$N$6,IF(data_CLEAN!V5&lt;=SCORE_METHOD!$K$8,SCORE_METHOD!$N$7,SCORE_METHOD!$N$8))</f>
        <v>3</v>
      </c>
      <c r="W5">
        <f>IF(data_CLEAN!W5&lt;=SCORE_METHOD!$L$7,SCORE_METHOD!$N$6,IF(data_CLEAN!W5&lt;=SCORE_METHOD!$L$8,SCORE_METHOD!$N$7,SCORE_METHOD!$N$8))</f>
        <v>3</v>
      </c>
      <c r="X5">
        <f>IF(data_CLEAN!X5&lt;=SCORE_METHOD!$M$7,SCORE_METHOD!$N$6,IF(data_CLEAN!X5&lt;=SCORE_METHOD!$M$8,SCORE_METHOD!$N$7,SCORE_METHOD!$N$8))</f>
        <v>1</v>
      </c>
      <c r="Y5">
        <f>VLOOKUP(data_CLEAN!Y5,SCORE_METHOD!$A$13:$F$15,6,FALSE)</f>
        <v>1</v>
      </c>
      <c r="Z5">
        <f>SUM(C5:L5)*SCORE_METHOD!$E$53</f>
        <v>1.4000000000000001</v>
      </c>
      <c r="AA5">
        <f>SUM(M5:N5)*SCORE_METHOD!$E$63</f>
        <v>2</v>
      </c>
      <c r="AB5">
        <f>SUM(O5:U5)*SCORE_METHOD!$E$65</f>
        <v>1.857142857142857</v>
      </c>
      <c r="AC5">
        <f>SUM(V5:Y5)*SCORE_METHOD!$E$72</f>
        <v>2</v>
      </c>
      <c r="AD5">
        <f>Z5*SCORE_METHOD!$C$44+data_SCORING!AA5*SCORE_METHOD!$C$45+data_SCORING!AB5*SCORE_METHOD!$C$46+data_SCORING!AC5*SCORE_METHOD!$C$47</f>
        <v>1.8142857142857143</v>
      </c>
    </row>
    <row r="6" spans="1:30" x14ac:dyDescent="0.25">
      <c r="A6" t="s">
        <v>34</v>
      </c>
      <c r="B6">
        <v>97.643793810199895</v>
      </c>
      <c r="C6">
        <f>IF(data_CLEAN!C6&lt;=SCORE_METHOD!$B$7,SCORE_METHOD!$N$6,IF(data_CLEAN!C6&lt;=SCORE_METHOD!$B$8,SCORE_METHOD!$N$7,SCORE_METHOD!$N$8))</f>
        <v>2</v>
      </c>
      <c r="D6">
        <f>IF(data_CLEAN!D6&lt;=SCORE_METHOD!$C$7,SCORE_METHOD!$N$6,IF(data_CLEAN!D6&lt;=SCORE_METHOD!$C$8,SCORE_METHOD!$N$7,SCORE_METHOD!$N$8))</f>
        <v>2</v>
      </c>
      <c r="E6">
        <f>IF(data_CLEAN!E6&lt;=SCORE_METHOD!$D$7,SCORE_METHOD!$N$6,IF(data_CLEAN!E6&lt;=SCORE_METHOD!$D$8,SCORE_METHOD!$N$7,SCORE_METHOD!$N$8))</f>
        <v>1</v>
      </c>
      <c r="F6">
        <f>IF(data_CLEAN!F6&lt;=SCORE_METHOD!$E$7,SCORE_METHOD!$N$6,IF(data_CLEAN!F6&lt;=SCORE_METHOD!$E$8,SCORE_METHOD!$N$7,SCORE_METHOD!$N$8))</f>
        <v>1</v>
      </c>
      <c r="G6">
        <f>IF(data_CLEAN!G6&lt;=SCORE_METHOD!$F$7,SCORE_METHOD!$N$6,IF(data_CLEAN!G6&lt;=SCORE_METHOD!$F$8,SCORE_METHOD!$N$7,SCORE_METHOD!$N$8))</f>
        <v>1</v>
      </c>
      <c r="H6">
        <f>VLOOKUP(data_CLEAN!H6,SCORE_METHOD!$A$13:$B$15,2,FALSE)</f>
        <v>1</v>
      </c>
      <c r="I6">
        <f>VLOOKUP(data_CLEAN!I6,SCORE_METHOD!$A$13:$C$15,3,FALSE)</f>
        <v>3</v>
      </c>
      <c r="J6">
        <f>VLOOKUP(data_CLEAN!J6,SCORE_METHOD!$A$13:$D$15,4,FALSE)</f>
        <v>1</v>
      </c>
      <c r="K6">
        <f>VLOOKUP(data_CLEAN!K6,SCORE_METHOD!$A$13:$E$15,5,FALSE)</f>
        <v>3</v>
      </c>
      <c r="L6">
        <f>VLOOKUP(data_CLEAN!L6,SCORE_METHOD!$A$19:$B$21,2,FALSE)</f>
        <v>3</v>
      </c>
      <c r="M6">
        <f>IF(data_CLEAN!M6&lt;=SCORE_METHOD!$G$7,SCORE_METHOD!$N$6,IF(data_CLEAN!M6&lt;=SCORE_METHOD!$G$8,SCORE_METHOD!$N$7,SCORE_METHOD!$N$8))</f>
        <v>2</v>
      </c>
      <c r="N6">
        <f>IF(data_CLEAN!N6&lt;=SCORE_METHOD!$H$7,SCORE_METHOD!$N$6,IF(data_CLEAN!N6&lt;=SCORE_METHOD!$H$8,SCORE_METHOD!$N$7,SCORE_METHOD!$N$8))</f>
        <v>1</v>
      </c>
      <c r="O6">
        <f>VLOOKUP(data_CLEAN!O6,SCORE_METHOD!$A$25:$C$26,3,FALSE)</f>
        <v>1</v>
      </c>
      <c r="P6">
        <f>IF(data_CLEAN!P6&lt;=SCORE_METHOD!$I$7,SCORE_METHOD!$N$6,IF(data_CLEAN!P6&lt;=SCORE_METHOD!$I$8,SCORE_METHOD!$N$7,SCORE_METHOD!$N$8))</f>
        <v>3</v>
      </c>
      <c r="Q6">
        <f>IF(data_CLEAN!Q6&lt;=SCORE_METHOD!$B$31,SCORE_METHOD!$C$30,IF(data_CLEAN!Q6&lt;=SCORE_METHOD!$B$32,SCORE_METHOD!$C$31,SCORE_METHOD!$C$32))</f>
        <v>3</v>
      </c>
      <c r="R6">
        <f>IF(data_CLEAN!R6&lt;=SCORE_METHOD!$J$7,SCORE_METHOD!$N$6,IF(data_CLEAN!S6&lt;=SCORE_METHOD!$J$8,SCORE_METHOD!$N$7,SCORE_METHOD!$N$8))</f>
        <v>2</v>
      </c>
      <c r="S6">
        <f>IF(data_CLEAN!S6&lt;=SCORE_METHOD!$D$31,SCORE_METHOD!$E$30,IF(data_CLEAN!S6&lt;=SCORE_METHOD!$D$32,SCORE_METHOD!$E$31,SCORE_METHOD!$E$32))</f>
        <v>2</v>
      </c>
      <c r="T6">
        <f>VLOOKUP(data_CLEAN!T6,SCORE_METHOD!$A$25:$E$26,5,FALSE)</f>
        <v>0</v>
      </c>
      <c r="U6">
        <f>IF(data_CLEAN!U6=1,SCORE_METHOD!$B$37,SCORE_METHOD!$B$38)</f>
        <v>1</v>
      </c>
      <c r="V6">
        <f>IF(data_CLEAN!V6&lt;=SCORE_METHOD!$K$7,SCORE_METHOD!$N$6,IF(data_CLEAN!V6&lt;=SCORE_METHOD!$K$8,SCORE_METHOD!$N$7,SCORE_METHOD!$N$8))</f>
        <v>2</v>
      </c>
      <c r="W6">
        <f>IF(data_CLEAN!W6&lt;=SCORE_METHOD!$L$7,SCORE_METHOD!$N$6,IF(data_CLEAN!W6&lt;=SCORE_METHOD!$L$8,SCORE_METHOD!$N$7,SCORE_METHOD!$N$8))</f>
        <v>1</v>
      </c>
      <c r="X6">
        <f>IF(data_CLEAN!X6&lt;=SCORE_METHOD!$M$7,SCORE_METHOD!$N$6,IF(data_CLEAN!X6&lt;=SCORE_METHOD!$M$8,SCORE_METHOD!$N$7,SCORE_METHOD!$N$8))</f>
        <v>3</v>
      </c>
      <c r="Y6">
        <f>VLOOKUP(data_CLEAN!Y6,SCORE_METHOD!$A$13:$F$15,6,FALSE)</f>
        <v>2</v>
      </c>
      <c r="Z6">
        <f>SUM(C6:L6)*SCORE_METHOD!$E$53</f>
        <v>1.8</v>
      </c>
      <c r="AA6">
        <f>SUM(M6:N6)*SCORE_METHOD!$E$63</f>
        <v>1.5</v>
      </c>
      <c r="AB6">
        <f>SUM(O6:U6)*SCORE_METHOD!$E$65</f>
        <v>1.7142857142857142</v>
      </c>
      <c r="AC6">
        <f>SUM(V6:Y6)*SCORE_METHOD!$E$72</f>
        <v>2</v>
      </c>
      <c r="AD6">
        <f>Z6*SCORE_METHOD!$C$44+data_SCORING!AA6*SCORE_METHOD!$C$45+data_SCORING!AB6*SCORE_METHOD!$C$46+data_SCORING!AC6*SCORE_METHOD!$C$47</f>
        <v>1.7535714285714286</v>
      </c>
    </row>
    <row r="7" spans="1:30" x14ac:dyDescent="0.25">
      <c r="A7" t="s">
        <v>35</v>
      </c>
      <c r="B7">
        <v>76.826502077599898</v>
      </c>
      <c r="C7">
        <f>IF(data_CLEAN!C7&lt;=SCORE_METHOD!$B$7,SCORE_METHOD!$N$6,IF(data_CLEAN!C7&lt;=SCORE_METHOD!$B$8,SCORE_METHOD!$N$7,SCORE_METHOD!$N$8))</f>
        <v>1</v>
      </c>
      <c r="D7">
        <f>IF(data_CLEAN!D7&lt;=SCORE_METHOD!$C$7,SCORE_METHOD!$N$6,IF(data_CLEAN!D7&lt;=SCORE_METHOD!$C$8,SCORE_METHOD!$N$7,SCORE_METHOD!$N$8))</f>
        <v>1</v>
      </c>
      <c r="E7">
        <f>IF(data_CLEAN!E7&lt;=SCORE_METHOD!$D$7,SCORE_METHOD!$N$6,IF(data_CLEAN!E7&lt;=SCORE_METHOD!$D$8,SCORE_METHOD!$N$7,SCORE_METHOD!$N$8))</f>
        <v>1</v>
      </c>
      <c r="F7">
        <f>IF(data_CLEAN!F7&lt;=SCORE_METHOD!$E$7,SCORE_METHOD!$N$6,IF(data_CLEAN!F7&lt;=SCORE_METHOD!$E$8,SCORE_METHOD!$N$7,SCORE_METHOD!$N$8))</f>
        <v>1</v>
      </c>
      <c r="G7">
        <f>IF(data_CLEAN!G7&lt;=SCORE_METHOD!$F$7,SCORE_METHOD!$N$6,IF(data_CLEAN!G7&lt;=SCORE_METHOD!$F$8,SCORE_METHOD!$N$7,SCORE_METHOD!$N$8))</f>
        <v>1</v>
      </c>
      <c r="H7">
        <f>VLOOKUP(data_CLEAN!H7,SCORE_METHOD!$A$13:$B$15,2,FALSE)</f>
        <v>1</v>
      </c>
      <c r="I7">
        <f>VLOOKUP(data_CLEAN!I7,SCORE_METHOD!$A$13:$C$15,3,FALSE)</f>
        <v>1</v>
      </c>
      <c r="J7">
        <f>VLOOKUP(data_CLEAN!J7,SCORE_METHOD!$A$13:$D$15,4,FALSE)</f>
        <v>1</v>
      </c>
      <c r="K7">
        <f>VLOOKUP(data_CLEAN!K7,SCORE_METHOD!$A$13:$E$15,5,FALSE)</f>
        <v>1</v>
      </c>
      <c r="L7">
        <f>VLOOKUP(data_CLEAN!L7,SCORE_METHOD!$A$19:$B$21,2,FALSE)</f>
        <v>3</v>
      </c>
      <c r="M7">
        <f>IF(data_CLEAN!M7&lt;=SCORE_METHOD!$G$7,SCORE_METHOD!$N$6,IF(data_CLEAN!M7&lt;=SCORE_METHOD!$G$8,SCORE_METHOD!$N$7,SCORE_METHOD!$N$8))</f>
        <v>2</v>
      </c>
      <c r="N7">
        <f>IF(data_CLEAN!N7&lt;=SCORE_METHOD!$H$7,SCORE_METHOD!$N$6,IF(data_CLEAN!N7&lt;=SCORE_METHOD!$H$8,SCORE_METHOD!$N$7,SCORE_METHOD!$N$8))</f>
        <v>3</v>
      </c>
      <c r="O7">
        <f>VLOOKUP(data_CLEAN!O7,SCORE_METHOD!$A$25:$C$26,3,FALSE)</f>
        <v>1</v>
      </c>
      <c r="P7">
        <f>IF(data_CLEAN!P7&lt;=SCORE_METHOD!$I$7,SCORE_METHOD!$N$6,IF(data_CLEAN!P7&lt;=SCORE_METHOD!$I$8,SCORE_METHOD!$N$7,SCORE_METHOD!$N$8))</f>
        <v>3</v>
      </c>
      <c r="Q7">
        <f>IF(data_CLEAN!Q7&lt;=SCORE_METHOD!$B$31,SCORE_METHOD!$C$30,IF(data_CLEAN!Q7&lt;=SCORE_METHOD!$B$32,SCORE_METHOD!$C$31,SCORE_METHOD!$C$32))</f>
        <v>3</v>
      </c>
      <c r="R7">
        <f>IF(data_CLEAN!R7&lt;=SCORE_METHOD!$J$7,SCORE_METHOD!$N$6,IF(data_CLEAN!S7&lt;=SCORE_METHOD!$J$8,SCORE_METHOD!$N$7,SCORE_METHOD!$N$8))</f>
        <v>2</v>
      </c>
      <c r="S7">
        <f>IF(data_CLEAN!S7&lt;=SCORE_METHOD!$D$31,SCORE_METHOD!$E$30,IF(data_CLEAN!S7&lt;=SCORE_METHOD!$D$32,SCORE_METHOD!$E$31,SCORE_METHOD!$E$32))</f>
        <v>2</v>
      </c>
      <c r="T7">
        <f>VLOOKUP(data_CLEAN!T7,SCORE_METHOD!$A$25:$E$26,5,FALSE)</f>
        <v>0</v>
      </c>
      <c r="U7">
        <f>IF(data_CLEAN!U7=1,SCORE_METHOD!$B$37,SCORE_METHOD!$B$38)</f>
        <v>1</v>
      </c>
      <c r="V7">
        <f>IF(data_CLEAN!V7&lt;=SCORE_METHOD!$K$7,SCORE_METHOD!$N$6,IF(data_CLEAN!V7&lt;=SCORE_METHOD!$K$8,SCORE_METHOD!$N$7,SCORE_METHOD!$N$8))</f>
        <v>3</v>
      </c>
      <c r="W7">
        <f>IF(data_CLEAN!W7&lt;=SCORE_METHOD!$L$7,SCORE_METHOD!$N$6,IF(data_CLEAN!W7&lt;=SCORE_METHOD!$L$8,SCORE_METHOD!$N$7,SCORE_METHOD!$N$8))</f>
        <v>1</v>
      </c>
      <c r="X7">
        <f>IF(data_CLEAN!X7&lt;=SCORE_METHOD!$M$7,SCORE_METHOD!$N$6,IF(data_CLEAN!X7&lt;=SCORE_METHOD!$M$8,SCORE_METHOD!$N$7,SCORE_METHOD!$N$8))</f>
        <v>1</v>
      </c>
      <c r="Y7">
        <f>VLOOKUP(data_CLEAN!Y7,SCORE_METHOD!$A$13:$F$15,6,FALSE)</f>
        <v>2</v>
      </c>
      <c r="Z7">
        <f>SUM(C7:L7)*SCORE_METHOD!$E$53</f>
        <v>1.2000000000000002</v>
      </c>
      <c r="AA7">
        <f>SUM(M7:N7)*SCORE_METHOD!$E$63</f>
        <v>2.5</v>
      </c>
      <c r="AB7">
        <f>SUM(O7:U7)*SCORE_METHOD!$E$65</f>
        <v>1.7142857142857142</v>
      </c>
      <c r="AC7">
        <f>SUM(V7:Y7)*SCORE_METHOD!$E$72</f>
        <v>1.75</v>
      </c>
      <c r="AD7">
        <f>Z7*SCORE_METHOD!$C$44+data_SCORING!AA7*SCORE_METHOD!$C$45+data_SCORING!AB7*SCORE_METHOD!$C$46+data_SCORING!AC7*SCORE_METHOD!$C$47</f>
        <v>1.7910714285714286</v>
      </c>
    </row>
    <row r="8" spans="1:30" x14ac:dyDescent="0.25">
      <c r="A8" t="s">
        <v>36</v>
      </c>
      <c r="B8">
        <v>3.4067871411100001</v>
      </c>
      <c r="C8">
        <f>IF(data_CLEAN!C8&lt;=SCORE_METHOD!$B$7,SCORE_METHOD!$N$6,IF(data_CLEAN!C8&lt;=SCORE_METHOD!$B$8,SCORE_METHOD!$N$7,SCORE_METHOD!$N$8))</f>
        <v>1</v>
      </c>
      <c r="D8">
        <f>IF(data_CLEAN!D8&lt;=SCORE_METHOD!$C$7,SCORE_METHOD!$N$6,IF(data_CLEAN!D8&lt;=SCORE_METHOD!$C$8,SCORE_METHOD!$N$7,SCORE_METHOD!$N$8))</f>
        <v>1</v>
      </c>
      <c r="E8">
        <f>IF(data_CLEAN!E8&lt;=SCORE_METHOD!$D$7,SCORE_METHOD!$N$6,IF(data_CLEAN!E8&lt;=SCORE_METHOD!$D$8,SCORE_METHOD!$N$7,SCORE_METHOD!$N$8))</f>
        <v>1</v>
      </c>
      <c r="F8">
        <f>IF(data_CLEAN!F8&lt;=SCORE_METHOD!$E$7,SCORE_METHOD!$N$6,IF(data_CLEAN!F8&lt;=SCORE_METHOD!$E$8,SCORE_METHOD!$N$7,SCORE_METHOD!$N$8))</f>
        <v>1</v>
      </c>
      <c r="G8">
        <f>IF(data_CLEAN!G8&lt;=SCORE_METHOD!$F$7,SCORE_METHOD!$N$6,IF(data_CLEAN!G8&lt;=SCORE_METHOD!$F$8,SCORE_METHOD!$N$7,SCORE_METHOD!$N$8))</f>
        <v>1</v>
      </c>
      <c r="H8">
        <f>VLOOKUP(data_CLEAN!H8,SCORE_METHOD!$A$13:$B$15,2,FALSE)</f>
        <v>2</v>
      </c>
      <c r="I8">
        <f>VLOOKUP(data_CLEAN!I8,SCORE_METHOD!$A$13:$C$15,3,FALSE)</f>
        <v>2</v>
      </c>
      <c r="J8">
        <f>VLOOKUP(data_CLEAN!J8,SCORE_METHOD!$A$13:$D$15,4,FALSE)</f>
        <v>2</v>
      </c>
      <c r="K8">
        <f>VLOOKUP(data_CLEAN!K8,SCORE_METHOD!$A$13:$E$15,5,FALSE)</f>
        <v>2</v>
      </c>
      <c r="L8">
        <f>VLOOKUP(data_CLEAN!L8,SCORE_METHOD!$A$19:$B$21,2,FALSE)</f>
        <v>3</v>
      </c>
      <c r="M8">
        <f>IF(data_CLEAN!M8&lt;=SCORE_METHOD!$G$7,SCORE_METHOD!$N$6,IF(data_CLEAN!M8&lt;=SCORE_METHOD!$G$8,SCORE_METHOD!$N$7,SCORE_METHOD!$N$8))</f>
        <v>3</v>
      </c>
      <c r="N8">
        <f>IF(data_CLEAN!N8&lt;=SCORE_METHOD!$H$7,SCORE_METHOD!$N$6,IF(data_CLEAN!N8&lt;=SCORE_METHOD!$H$8,SCORE_METHOD!$N$7,SCORE_METHOD!$N$8))</f>
        <v>1</v>
      </c>
      <c r="O8">
        <f>VLOOKUP(data_CLEAN!O8,SCORE_METHOD!$A$25:$C$26,3,FALSE)</f>
        <v>1</v>
      </c>
      <c r="P8">
        <f>IF(data_CLEAN!P8&lt;=SCORE_METHOD!$I$7,SCORE_METHOD!$N$6,IF(data_CLEAN!P8&lt;=SCORE_METHOD!$I$8,SCORE_METHOD!$N$7,SCORE_METHOD!$N$8))</f>
        <v>3</v>
      </c>
      <c r="Q8">
        <f>IF(data_CLEAN!Q8&lt;=SCORE_METHOD!$B$31,SCORE_METHOD!$C$30,IF(data_CLEAN!Q8&lt;=SCORE_METHOD!$B$32,SCORE_METHOD!$C$31,SCORE_METHOD!$C$32))</f>
        <v>2</v>
      </c>
      <c r="R8">
        <f>IF(data_CLEAN!R8&lt;=SCORE_METHOD!$J$7,SCORE_METHOD!$N$6,IF(data_CLEAN!S8&lt;=SCORE_METHOD!$J$8,SCORE_METHOD!$N$7,SCORE_METHOD!$N$8))</f>
        <v>1</v>
      </c>
      <c r="S8">
        <f>IF(data_CLEAN!S8&lt;=SCORE_METHOD!$D$31,SCORE_METHOD!$E$30,IF(data_CLEAN!S8&lt;=SCORE_METHOD!$D$32,SCORE_METHOD!$E$31,SCORE_METHOD!$E$32))</f>
        <v>2</v>
      </c>
      <c r="T8">
        <f>VLOOKUP(data_CLEAN!T8,SCORE_METHOD!$A$25:$E$26,5,FALSE)</f>
        <v>0</v>
      </c>
      <c r="U8">
        <f>IF(data_CLEAN!U8=1,SCORE_METHOD!$B$37,SCORE_METHOD!$B$38)</f>
        <v>1</v>
      </c>
      <c r="V8">
        <f>IF(data_CLEAN!V8&lt;=SCORE_METHOD!$K$7,SCORE_METHOD!$N$6,IF(data_CLEAN!V8&lt;=SCORE_METHOD!$K$8,SCORE_METHOD!$N$7,SCORE_METHOD!$N$8))</f>
        <v>1</v>
      </c>
      <c r="W8">
        <f>IF(data_CLEAN!W8&lt;=SCORE_METHOD!$L$7,SCORE_METHOD!$N$6,IF(data_CLEAN!W8&lt;=SCORE_METHOD!$L$8,SCORE_METHOD!$N$7,SCORE_METHOD!$N$8))</f>
        <v>1</v>
      </c>
      <c r="X8">
        <f>IF(data_CLEAN!X8&lt;=SCORE_METHOD!$M$7,SCORE_METHOD!$N$6,IF(data_CLEAN!X8&lt;=SCORE_METHOD!$M$8,SCORE_METHOD!$N$7,SCORE_METHOD!$N$8))</f>
        <v>1</v>
      </c>
      <c r="Y8">
        <f>VLOOKUP(data_CLEAN!Y8,SCORE_METHOD!$A$13:$F$15,6,FALSE)</f>
        <v>2</v>
      </c>
      <c r="Z8">
        <f>SUM(C8:L8)*SCORE_METHOD!$E$53</f>
        <v>1.6</v>
      </c>
      <c r="AA8">
        <f>SUM(M8:N8)*SCORE_METHOD!$E$63</f>
        <v>2</v>
      </c>
      <c r="AB8">
        <f>SUM(O8:U8)*SCORE_METHOD!$E$65</f>
        <v>1.4285714285714284</v>
      </c>
      <c r="AC8">
        <f>SUM(V8:Y8)*SCORE_METHOD!$E$72</f>
        <v>1.25</v>
      </c>
      <c r="AD8">
        <f>Z8*SCORE_METHOD!$C$44+data_SCORING!AA8*SCORE_METHOD!$C$45+data_SCORING!AB8*SCORE_METHOD!$C$46+data_SCORING!AC8*SCORE_METHOD!$C$47</f>
        <v>1.5696428571428571</v>
      </c>
    </row>
    <row r="9" spans="1:30" x14ac:dyDescent="0.25">
      <c r="A9" t="s">
        <v>37</v>
      </c>
      <c r="B9">
        <v>27.275757023800001</v>
      </c>
      <c r="C9">
        <f>IF(data_CLEAN!C9&lt;=SCORE_METHOD!$B$7,SCORE_METHOD!$N$6,IF(data_CLEAN!C9&lt;=SCORE_METHOD!$B$8,SCORE_METHOD!$N$7,SCORE_METHOD!$N$8))</f>
        <v>2</v>
      </c>
      <c r="D9">
        <f>IF(data_CLEAN!D9&lt;=SCORE_METHOD!$C$7,SCORE_METHOD!$N$6,IF(data_CLEAN!D9&lt;=SCORE_METHOD!$C$8,SCORE_METHOD!$N$7,SCORE_METHOD!$N$8))</f>
        <v>2</v>
      </c>
      <c r="E9">
        <f>IF(data_CLEAN!E9&lt;=SCORE_METHOD!$D$7,SCORE_METHOD!$N$6,IF(data_CLEAN!E9&lt;=SCORE_METHOD!$D$8,SCORE_METHOD!$N$7,SCORE_METHOD!$N$8))</f>
        <v>1</v>
      </c>
      <c r="F9">
        <f>IF(data_CLEAN!F9&lt;=SCORE_METHOD!$E$7,SCORE_METHOD!$N$6,IF(data_CLEAN!F9&lt;=SCORE_METHOD!$E$8,SCORE_METHOD!$N$7,SCORE_METHOD!$N$8))</f>
        <v>1</v>
      </c>
      <c r="G9">
        <f>IF(data_CLEAN!G9&lt;=SCORE_METHOD!$F$7,SCORE_METHOD!$N$6,IF(data_CLEAN!G9&lt;=SCORE_METHOD!$F$8,SCORE_METHOD!$N$7,SCORE_METHOD!$N$8))</f>
        <v>1</v>
      </c>
      <c r="H9">
        <f>VLOOKUP(data_CLEAN!H9,SCORE_METHOD!$A$13:$B$15,2,FALSE)</f>
        <v>1</v>
      </c>
      <c r="I9">
        <f>VLOOKUP(data_CLEAN!I9,SCORE_METHOD!$A$13:$C$15,3,FALSE)</f>
        <v>1</v>
      </c>
      <c r="J9">
        <f>VLOOKUP(data_CLEAN!J9,SCORE_METHOD!$A$13:$D$15,4,FALSE)</f>
        <v>1</v>
      </c>
      <c r="K9">
        <f>VLOOKUP(data_CLEAN!K9,SCORE_METHOD!$A$13:$E$15,5,FALSE)</f>
        <v>1</v>
      </c>
      <c r="L9">
        <f>VLOOKUP(data_CLEAN!L9,SCORE_METHOD!$A$19:$B$21,2,FALSE)</f>
        <v>3</v>
      </c>
      <c r="M9">
        <f>IF(data_CLEAN!M9&lt;=SCORE_METHOD!$G$7,SCORE_METHOD!$N$6,IF(data_CLEAN!M9&lt;=SCORE_METHOD!$G$8,SCORE_METHOD!$N$7,SCORE_METHOD!$N$8))</f>
        <v>3</v>
      </c>
      <c r="N9">
        <f>IF(data_CLEAN!N9&lt;=SCORE_METHOD!$H$7,SCORE_METHOD!$N$6,IF(data_CLEAN!N9&lt;=SCORE_METHOD!$H$8,SCORE_METHOD!$N$7,SCORE_METHOD!$N$8))</f>
        <v>1</v>
      </c>
      <c r="O9">
        <f>VLOOKUP(data_CLEAN!O9,SCORE_METHOD!$A$25:$C$26,3,FALSE)</f>
        <v>1</v>
      </c>
      <c r="P9">
        <f>IF(data_CLEAN!P9&lt;=SCORE_METHOD!$I$7,SCORE_METHOD!$N$6,IF(data_CLEAN!P9&lt;=SCORE_METHOD!$I$8,SCORE_METHOD!$N$7,SCORE_METHOD!$N$8))</f>
        <v>3</v>
      </c>
      <c r="Q9">
        <f>IF(data_CLEAN!Q9&lt;=SCORE_METHOD!$B$31,SCORE_METHOD!$C$30,IF(data_CLEAN!Q9&lt;=SCORE_METHOD!$B$32,SCORE_METHOD!$C$31,SCORE_METHOD!$C$32))</f>
        <v>2</v>
      </c>
      <c r="R9">
        <f>IF(data_CLEAN!R9&lt;=SCORE_METHOD!$J$7,SCORE_METHOD!$N$6,IF(data_CLEAN!S9&lt;=SCORE_METHOD!$J$8,SCORE_METHOD!$N$7,SCORE_METHOD!$N$8))</f>
        <v>1</v>
      </c>
      <c r="S9">
        <f>IF(data_CLEAN!S9&lt;=SCORE_METHOD!$D$31,SCORE_METHOD!$E$30,IF(data_CLEAN!S9&lt;=SCORE_METHOD!$D$32,SCORE_METHOD!$E$31,SCORE_METHOD!$E$32))</f>
        <v>3</v>
      </c>
      <c r="T9">
        <f>VLOOKUP(data_CLEAN!T9,SCORE_METHOD!$A$25:$E$26,5,FALSE)</f>
        <v>0</v>
      </c>
      <c r="U9">
        <f>IF(data_CLEAN!U9=1,SCORE_METHOD!$B$37,SCORE_METHOD!$B$38)</f>
        <v>1</v>
      </c>
      <c r="V9">
        <f>IF(data_CLEAN!V9&lt;=SCORE_METHOD!$K$7,SCORE_METHOD!$N$6,IF(data_CLEAN!V9&lt;=SCORE_METHOD!$K$8,SCORE_METHOD!$N$7,SCORE_METHOD!$N$8))</f>
        <v>3</v>
      </c>
      <c r="W9">
        <f>IF(data_CLEAN!W9&lt;=SCORE_METHOD!$L$7,SCORE_METHOD!$N$6,IF(data_CLEAN!W9&lt;=SCORE_METHOD!$L$8,SCORE_METHOD!$N$7,SCORE_METHOD!$N$8))</f>
        <v>3</v>
      </c>
      <c r="X9">
        <f>IF(data_CLEAN!X9&lt;=SCORE_METHOD!$M$7,SCORE_METHOD!$N$6,IF(data_CLEAN!X9&lt;=SCORE_METHOD!$M$8,SCORE_METHOD!$N$7,SCORE_METHOD!$N$8))</f>
        <v>1</v>
      </c>
      <c r="Y9">
        <f>VLOOKUP(data_CLEAN!Y9,SCORE_METHOD!$A$13:$F$15,6,FALSE)</f>
        <v>1</v>
      </c>
      <c r="Z9">
        <f>SUM(C9:L9)*SCORE_METHOD!$E$53</f>
        <v>1.4000000000000001</v>
      </c>
      <c r="AA9">
        <f>SUM(M9:N9)*SCORE_METHOD!$E$63</f>
        <v>2</v>
      </c>
      <c r="AB9">
        <f>SUM(O9:U9)*SCORE_METHOD!$E$65</f>
        <v>1.5714285714285714</v>
      </c>
      <c r="AC9">
        <f>SUM(V9:Y9)*SCORE_METHOD!$E$72</f>
        <v>2</v>
      </c>
      <c r="AD9">
        <f>Z9*SCORE_METHOD!$C$44+data_SCORING!AA9*SCORE_METHOD!$C$45+data_SCORING!AB9*SCORE_METHOD!$C$46+data_SCORING!AC9*SCORE_METHOD!$C$47</f>
        <v>1.7428571428571429</v>
      </c>
    </row>
    <row r="10" spans="1:30" x14ac:dyDescent="0.25">
      <c r="A10" t="s">
        <v>38</v>
      </c>
      <c r="B10">
        <v>60.320465667299899</v>
      </c>
      <c r="C10">
        <f>IF(data_CLEAN!C10&lt;=SCORE_METHOD!$B$7,SCORE_METHOD!$N$6,IF(data_CLEAN!C10&lt;=SCORE_METHOD!$B$8,SCORE_METHOD!$N$7,SCORE_METHOD!$N$8))</f>
        <v>2</v>
      </c>
      <c r="D10">
        <f>IF(data_CLEAN!D10&lt;=SCORE_METHOD!$C$7,SCORE_METHOD!$N$6,IF(data_CLEAN!D10&lt;=SCORE_METHOD!$C$8,SCORE_METHOD!$N$7,SCORE_METHOD!$N$8))</f>
        <v>2</v>
      </c>
      <c r="E10">
        <f>IF(data_CLEAN!E10&lt;=SCORE_METHOD!$D$7,SCORE_METHOD!$N$6,IF(data_CLEAN!E10&lt;=SCORE_METHOD!$D$8,SCORE_METHOD!$N$7,SCORE_METHOD!$N$8))</f>
        <v>1</v>
      </c>
      <c r="F10">
        <f>IF(data_CLEAN!F10&lt;=SCORE_METHOD!$E$7,SCORE_METHOD!$N$6,IF(data_CLEAN!F10&lt;=SCORE_METHOD!$E$8,SCORE_METHOD!$N$7,SCORE_METHOD!$N$8))</f>
        <v>1</v>
      </c>
      <c r="G10">
        <f>IF(data_CLEAN!G10&lt;=SCORE_METHOD!$F$7,SCORE_METHOD!$N$6,IF(data_CLEAN!G10&lt;=SCORE_METHOD!$F$8,SCORE_METHOD!$N$7,SCORE_METHOD!$N$8))</f>
        <v>1</v>
      </c>
      <c r="H10">
        <f>VLOOKUP(data_CLEAN!H10,SCORE_METHOD!$A$13:$B$15,2,FALSE)</f>
        <v>3</v>
      </c>
      <c r="I10">
        <f>VLOOKUP(data_CLEAN!I10,SCORE_METHOD!$A$13:$C$15,3,FALSE)</f>
        <v>3</v>
      </c>
      <c r="J10">
        <f>VLOOKUP(data_CLEAN!J10,SCORE_METHOD!$A$13:$D$15,4,FALSE)</f>
        <v>1</v>
      </c>
      <c r="K10">
        <f>VLOOKUP(data_CLEAN!K10,SCORE_METHOD!$A$13:$E$15,5,FALSE)</f>
        <v>1</v>
      </c>
      <c r="L10">
        <f>VLOOKUP(data_CLEAN!L10,SCORE_METHOD!$A$19:$B$21,2,FALSE)</f>
        <v>2</v>
      </c>
      <c r="M10">
        <f>IF(data_CLEAN!M10&lt;=SCORE_METHOD!$G$7,SCORE_METHOD!$N$6,IF(data_CLEAN!M10&lt;=SCORE_METHOD!$G$8,SCORE_METHOD!$N$7,SCORE_METHOD!$N$8))</f>
        <v>2</v>
      </c>
      <c r="N10">
        <f>IF(data_CLEAN!N10&lt;=SCORE_METHOD!$H$7,SCORE_METHOD!$N$6,IF(data_CLEAN!N10&lt;=SCORE_METHOD!$H$8,SCORE_METHOD!$N$7,SCORE_METHOD!$N$8))</f>
        <v>1</v>
      </c>
      <c r="O10">
        <f>VLOOKUP(data_CLEAN!O10,SCORE_METHOD!$A$25:$C$26,3,FALSE)</f>
        <v>1</v>
      </c>
      <c r="P10">
        <f>IF(data_CLEAN!P10&lt;=SCORE_METHOD!$I$7,SCORE_METHOD!$N$6,IF(data_CLEAN!P10&lt;=SCORE_METHOD!$I$8,SCORE_METHOD!$N$7,SCORE_METHOD!$N$8))</f>
        <v>2</v>
      </c>
      <c r="Q10">
        <f>IF(data_CLEAN!Q10&lt;=SCORE_METHOD!$B$31,SCORE_METHOD!$C$30,IF(data_CLEAN!Q10&lt;=SCORE_METHOD!$B$32,SCORE_METHOD!$C$31,SCORE_METHOD!$C$32))</f>
        <v>2</v>
      </c>
      <c r="R10">
        <f>IF(data_CLEAN!R10&lt;=SCORE_METHOD!$J$7,SCORE_METHOD!$N$6,IF(data_CLEAN!S10&lt;=SCORE_METHOD!$J$8,SCORE_METHOD!$N$7,SCORE_METHOD!$N$8))</f>
        <v>2</v>
      </c>
      <c r="S10">
        <f>IF(data_CLEAN!S10&lt;=SCORE_METHOD!$D$31,SCORE_METHOD!$E$30,IF(data_CLEAN!S10&lt;=SCORE_METHOD!$D$32,SCORE_METHOD!$E$31,SCORE_METHOD!$E$32))</f>
        <v>3</v>
      </c>
      <c r="T10">
        <f>VLOOKUP(data_CLEAN!T10,SCORE_METHOD!$A$25:$E$26,5,FALSE)</f>
        <v>0</v>
      </c>
      <c r="U10">
        <f>IF(data_CLEAN!U10=1,SCORE_METHOD!$B$37,SCORE_METHOD!$B$38)</f>
        <v>1</v>
      </c>
      <c r="V10">
        <f>IF(data_CLEAN!V10&lt;=SCORE_METHOD!$K$7,SCORE_METHOD!$N$6,IF(data_CLEAN!V10&lt;=SCORE_METHOD!$K$8,SCORE_METHOD!$N$7,SCORE_METHOD!$N$8))</f>
        <v>3</v>
      </c>
      <c r="W10">
        <f>IF(data_CLEAN!W10&lt;=SCORE_METHOD!$L$7,SCORE_METHOD!$N$6,IF(data_CLEAN!W10&lt;=SCORE_METHOD!$L$8,SCORE_METHOD!$N$7,SCORE_METHOD!$N$8))</f>
        <v>2</v>
      </c>
      <c r="X10">
        <f>IF(data_CLEAN!X10&lt;=SCORE_METHOD!$M$7,SCORE_METHOD!$N$6,IF(data_CLEAN!X10&lt;=SCORE_METHOD!$M$8,SCORE_METHOD!$N$7,SCORE_METHOD!$N$8))</f>
        <v>1</v>
      </c>
      <c r="Y10">
        <f>VLOOKUP(data_CLEAN!Y10,SCORE_METHOD!$A$13:$F$15,6,FALSE)</f>
        <v>3</v>
      </c>
      <c r="Z10">
        <f>SUM(C10:L10)*SCORE_METHOD!$E$53</f>
        <v>1.7000000000000002</v>
      </c>
      <c r="AA10">
        <f>SUM(M10:N10)*SCORE_METHOD!$E$63</f>
        <v>1.5</v>
      </c>
      <c r="AB10">
        <f>SUM(O10:U10)*SCORE_METHOD!$E$65</f>
        <v>1.5714285714285714</v>
      </c>
      <c r="AC10">
        <f>SUM(V10:Y10)*SCORE_METHOD!$E$72</f>
        <v>2.25</v>
      </c>
      <c r="AD10">
        <f>Z10*SCORE_METHOD!$C$44+data_SCORING!AA10*SCORE_METHOD!$C$45+data_SCORING!AB10*SCORE_METHOD!$C$46+data_SCORING!AC10*SCORE_METHOD!$C$47</f>
        <v>1.7553571428571428</v>
      </c>
    </row>
    <row r="11" spans="1:30" x14ac:dyDescent="0.25">
      <c r="A11" t="s">
        <v>39</v>
      </c>
      <c r="B11">
        <v>20.004861967899899</v>
      </c>
      <c r="C11">
        <f>IF(data_CLEAN!C11&lt;=SCORE_METHOD!$B$7,SCORE_METHOD!$N$6,IF(data_CLEAN!C11&lt;=SCORE_METHOD!$B$8,SCORE_METHOD!$N$7,SCORE_METHOD!$N$8))</f>
        <v>2</v>
      </c>
      <c r="D11">
        <f>IF(data_CLEAN!D11&lt;=SCORE_METHOD!$C$7,SCORE_METHOD!$N$6,IF(data_CLEAN!D11&lt;=SCORE_METHOD!$C$8,SCORE_METHOD!$N$7,SCORE_METHOD!$N$8))</f>
        <v>2</v>
      </c>
      <c r="E11">
        <f>IF(data_CLEAN!E11&lt;=SCORE_METHOD!$D$7,SCORE_METHOD!$N$6,IF(data_CLEAN!E11&lt;=SCORE_METHOD!$D$8,SCORE_METHOD!$N$7,SCORE_METHOD!$N$8))</f>
        <v>1</v>
      </c>
      <c r="F11">
        <f>IF(data_CLEAN!F11&lt;=SCORE_METHOD!$E$7,SCORE_METHOD!$N$6,IF(data_CLEAN!F11&lt;=SCORE_METHOD!$E$8,SCORE_METHOD!$N$7,SCORE_METHOD!$N$8))</f>
        <v>1</v>
      </c>
      <c r="G11">
        <f>IF(data_CLEAN!G11&lt;=SCORE_METHOD!$F$7,SCORE_METHOD!$N$6,IF(data_CLEAN!G11&lt;=SCORE_METHOD!$F$8,SCORE_METHOD!$N$7,SCORE_METHOD!$N$8))</f>
        <v>1</v>
      </c>
      <c r="H11">
        <f>VLOOKUP(data_CLEAN!H11,SCORE_METHOD!$A$13:$B$15,2,FALSE)</f>
        <v>1</v>
      </c>
      <c r="I11">
        <f>VLOOKUP(data_CLEAN!I11,SCORE_METHOD!$A$13:$C$15,3,FALSE)</f>
        <v>1</v>
      </c>
      <c r="J11">
        <f>VLOOKUP(data_CLEAN!J11,SCORE_METHOD!$A$13:$D$15,4,FALSE)</f>
        <v>1</v>
      </c>
      <c r="K11">
        <f>VLOOKUP(data_CLEAN!K11,SCORE_METHOD!$A$13:$E$15,5,FALSE)</f>
        <v>1</v>
      </c>
      <c r="L11">
        <f>VLOOKUP(data_CLEAN!L11,SCORE_METHOD!$A$19:$B$21,2,FALSE)</f>
        <v>3</v>
      </c>
      <c r="M11">
        <f>IF(data_CLEAN!M11&lt;=SCORE_METHOD!$G$7,SCORE_METHOD!$N$6,IF(data_CLEAN!M11&lt;=SCORE_METHOD!$G$8,SCORE_METHOD!$N$7,SCORE_METHOD!$N$8))</f>
        <v>3</v>
      </c>
      <c r="N11">
        <f>IF(data_CLEAN!N11&lt;=SCORE_METHOD!$H$7,SCORE_METHOD!$N$6,IF(data_CLEAN!N11&lt;=SCORE_METHOD!$H$8,SCORE_METHOD!$N$7,SCORE_METHOD!$N$8))</f>
        <v>1</v>
      </c>
      <c r="O11">
        <f>VLOOKUP(data_CLEAN!O11,SCORE_METHOD!$A$25:$C$26,3,FALSE)</f>
        <v>1</v>
      </c>
      <c r="P11">
        <f>IF(data_CLEAN!P11&lt;=SCORE_METHOD!$I$7,SCORE_METHOD!$N$6,IF(data_CLEAN!P11&lt;=SCORE_METHOD!$I$8,SCORE_METHOD!$N$7,SCORE_METHOD!$N$8))</f>
        <v>2</v>
      </c>
      <c r="Q11">
        <f>IF(data_CLEAN!Q11&lt;=SCORE_METHOD!$B$31,SCORE_METHOD!$C$30,IF(data_CLEAN!Q11&lt;=SCORE_METHOD!$B$32,SCORE_METHOD!$C$31,SCORE_METHOD!$C$32))</f>
        <v>2</v>
      </c>
      <c r="R11">
        <f>IF(data_CLEAN!R11&lt;=SCORE_METHOD!$J$7,SCORE_METHOD!$N$6,IF(data_CLEAN!S11&lt;=SCORE_METHOD!$J$8,SCORE_METHOD!$N$7,SCORE_METHOD!$N$8))</f>
        <v>2</v>
      </c>
      <c r="S11">
        <f>IF(data_CLEAN!S11&lt;=SCORE_METHOD!$D$31,SCORE_METHOD!$E$30,IF(data_CLEAN!S11&lt;=SCORE_METHOD!$D$32,SCORE_METHOD!$E$31,SCORE_METHOD!$E$32))</f>
        <v>3</v>
      </c>
      <c r="T11">
        <f>VLOOKUP(data_CLEAN!T11,SCORE_METHOD!$A$25:$E$26,5,FALSE)</f>
        <v>0</v>
      </c>
      <c r="U11">
        <f>IF(data_CLEAN!U11=1,SCORE_METHOD!$B$37,SCORE_METHOD!$B$38)</f>
        <v>1</v>
      </c>
      <c r="V11">
        <f>IF(data_CLEAN!V11&lt;=SCORE_METHOD!$K$7,SCORE_METHOD!$N$6,IF(data_CLEAN!V11&lt;=SCORE_METHOD!$K$8,SCORE_METHOD!$N$7,SCORE_METHOD!$N$8))</f>
        <v>3</v>
      </c>
      <c r="W11">
        <f>IF(data_CLEAN!W11&lt;=SCORE_METHOD!$L$7,SCORE_METHOD!$N$6,IF(data_CLEAN!W11&lt;=SCORE_METHOD!$L$8,SCORE_METHOD!$N$7,SCORE_METHOD!$N$8))</f>
        <v>3</v>
      </c>
      <c r="X11">
        <f>IF(data_CLEAN!X11&lt;=SCORE_METHOD!$M$7,SCORE_METHOD!$N$6,IF(data_CLEAN!X11&lt;=SCORE_METHOD!$M$8,SCORE_METHOD!$N$7,SCORE_METHOD!$N$8))</f>
        <v>1</v>
      </c>
      <c r="Y11">
        <f>VLOOKUP(data_CLEAN!Y11,SCORE_METHOD!$A$13:$F$15,6,FALSE)</f>
        <v>1</v>
      </c>
      <c r="Z11">
        <f>SUM(C11:L11)*SCORE_METHOD!$E$53</f>
        <v>1.4000000000000001</v>
      </c>
      <c r="AA11">
        <f>SUM(M11:N11)*SCORE_METHOD!$E$63</f>
        <v>2</v>
      </c>
      <c r="AB11">
        <f>SUM(O11:U11)*SCORE_METHOD!$E$65</f>
        <v>1.5714285714285714</v>
      </c>
      <c r="AC11">
        <f>SUM(V11:Y11)*SCORE_METHOD!$E$72</f>
        <v>2</v>
      </c>
      <c r="AD11">
        <f>Z11*SCORE_METHOD!$C$44+data_SCORING!AA11*SCORE_METHOD!$C$45+data_SCORING!AB11*SCORE_METHOD!$C$46+data_SCORING!AC11*SCORE_METHOD!$C$47</f>
        <v>1.7428571428571429</v>
      </c>
    </row>
    <row r="12" spans="1:30" x14ac:dyDescent="0.25">
      <c r="A12" t="s">
        <v>40</v>
      </c>
      <c r="B12">
        <v>76.142924098199899</v>
      </c>
      <c r="C12">
        <f>IF(data_CLEAN!C12&lt;=SCORE_METHOD!$B$7,SCORE_METHOD!$N$6,IF(data_CLEAN!C12&lt;=SCORE_METHOD!$B$8,SCORE_METHOD!$N$7,SCORE_METHOD!$N$8))</f>
        <v>1</v>
      </c>
      <c r="D12">
        <f>IF(data_CLEAN!D12&lt;=SCORE_METHOD!$C$7,SCORE_METHOD!$N$6,IF(data_CLEAN!D12&lt;=SCORE_METHOD!$C$8,SCORE_METHOD!$N$7,SCORE_METHOD!$N$8))</f>
        <v>1</v>
      </c>
      <c r="E12">
        <f>IF(data_CLEAN!E12&lt;=SCORE_METHOD!$D$7,SCORE_METHOD!$N$6,IF(data_CLEAN!E12&lt;=SCORE_METHOD!$D$8,SCORE_METHOD!$N$7,SCORE_METHOD!$N$8))</f>
        <v>1</v>
      </c>
      <c r="F12">
        <f>IF(data_CLEAN!F12&lt;=SCORE_METHOD!$E$7,SCORE_METHOD!$N$6,IF(data_CLEAN!F12&lt;=SCORE_METHOD!$E$8,SCORE_METHOD!$N$7,SCORE_METHOD!$N$8))</f>
        <v>1</v>
      </c>
      <c r="G12">
        <f>IF(data_CLEAN!G12&lt;=SCORE_METHOD!$F$7,SCORE_METHOD!$N$6,IF(data_CLEAN!G12&lt;=SCORE_METHOD!$F$8,SCORE_METHOD!$N$7,SCORE_METHOD!$N$8))</f>
        <v>1</v>
      </c>
      <c r="H12">
        <f>VLOOKUP(data_CLEAN!H12,SCORE_METHOD!$A$13:$B$15,2,FALSE)</f>
        <v>1</v>
      </c>
      <c r="I12">
        <f>VLOOKUP(data_CLEAN!I12,SCORE_METHOD!$A$13:$C$15,3,FALSE)</f>
        <v>1</v>
      </c>
      <c r="J12">
        <f>VLOOKUP(data_CLEAN!J12,SCORE_METHOD!$A$13:$D$15,4,FALSE)</f>
        <v>1</v>
      </c>
      <c r="K12">
        <f>VLOOKUP(data_CLEAN!K12,SCORE_METHOD!$A$13:$E$15,5,FALSE)</f>
        <v>1</v>
      </c>
      <c r="L12">
        <f>VLOOKUP(data_CLEAN!L12,SCORE_METHOD!$A$19:$B$21,2,FALSE)</f>
        <v>2</v>
      </c>
      <c r="M12">
        <f>IF(data_CLEAN!M12&lt;=SCORE_METHOD!$G$7,SCORE_METHOD!$N$6,IF(data_CLEAN!M12&lt;=SCORE_METHOD!$G$8,SCORE_METHOD!$N$7,SCORE_METHOD!$N$8))</f>
        <v>3</v>
      </c>
      <c r="N12">
        <f>IF(data_CLEAN!N12&lt;=SCORE_METHOD!$H$7,SCORE_METHOD!$N$6,IF(data_CLEAN!N12&lt;=SCORE_METHOD!$H$8,SCORE_METHOD!$N$7,SCORE_METHOD!$N$8))</f>
        <v>1</v>
      </c>
      <c r="O12">
        <f>VLOOKUP(data_CLEAN!O12,SCORE_METHOD!$A$25:$C$26,3,FALSE)</f>
        <v>1</v>
      </c>
      <c r="P12">
        <f>IF(data_CLEAN!P12&lt;=SCORE_METHOD!$I$7,SCORE_METHOD!$N$6,IF(data_CLEAN!P12&lt;=SCORE_METHOD!$I$8,SCORE_METHOD!$N$7,SCORE_METHOD!$N$8))</f>
        <v>3</v>
      </c>
      <c r="Q12">
        <f>IF(data_CLEAN!Q12&lt;=SCORE_METHOD!$B$31,SCORE_METHOD!$C$30,IF(data_CLEAN!Q12&lt;=SCORE_METHOD!$B$32,SCORE_METHOD!$C$31,SCORE_METHOD!$C$32))</f>
        <v>1</v>
      </c>
      <c r="R12">
        <f>IF(data_CLEAN!R12&lt;=SCORE_METHOD!$J$7,SCORE_METHOD!$N$6,IF(data_CLEAN!S12&lt;=SCORE_METHOD!$J$8,SCORE_METHOD!$N$7,SCORE_METHOD!$N$8))</f>
        <v>2</v>
      </c>
      <c r="S12">
        <f>IF(data_CLEAN!S12&lt;=SCORE_METHOD!$D$31,SCORE_METHOD!$E$30,IF(data_CLEAN!S12&lt;=SCORE_METHOD!$D$32,SCORE_METHOD!$E$31,SCORE_METHOD!$E$32))</f>
        <v>3</v>
      </c>
      <c r="T12">
        <f>VLOOKUP(data_CLEAN!T12,SCORE_METHOD!$A$25:$E$26,5,FALSE)</f>
        <v>0</v>
      </c>
      <c r="U12">
        <f>IF(data_CLEAN!U12=1,SCORE_METHOD!$B$37,SCORE_METHOD!$B$38)</f>
        <v>1</v>
      </c>
      <c r="V12">
        <f>IF(data_CLEAN!V12&lt;=SCORE_METHOD!$K$7,SCORE_METHOD!$N$6,IF(data_CLEAN!V12&lt;=SCORE_METHOD!$K$8,SCORE_METHOD!$N$7,SCORE_METHOD!$N$8))</f>
        <v>3</v>
      </c>
      <c r="W12">
        <f>IF(data_CLEAN!W12&lt;=SCORE_METHOD!$L$7,SCORE_METHOD!$N$6,IF(data_CLEAN!W12&lt;=SCORE_METHOD!$L$8,SCORE_METHOD!$N$7,SCORE_METHOD!$N$8))</f>
        <v>2</v>
      </c>
      <c r="X12">
        <f>IF(data_CLEAN!X12&lt;=SCORE_METHOD!$M$7,SCORE_METHOD!$N$6,IF(data_CLEAN!X12&lt;=SCORE_METHOD!$M$8,SCORE_METHOD!$N$7,SCORE_METHOD!$N$8))</f>
        <v>2</v>
      </c>
      <c r="Y12">
        <f>VLOOKUP(data_CLEAN!Y12,SCORE_METHOD!$A$13:$F$15,6,FALSE)</f>
        <v>2</v>
      </c>
      <c r="Z12">
        <f>SUM(C12:L12)*SCORE_METHOD!$E$53</f>
        <v>1.1000000000000001</v>
      </c>
      <c r="AA12">
        <f>SUM(M12:N12)*SCORE_METHOD!$E$63</f>
        <v>2</v>
      </c>
      <c r="AB12">
        <f>SUM(O12:U12)*SCORE_METHOD!$E$65</f>
        <v>1.5714285714285714</v>
      </c>
      <c r="AC12">
        <f>SUM(V12:Y12)*SCORE_METHOD!$E$72</f>
        <v>2.25</v>
      </c>
      <c r="AD12">
        <f>Z12*SCORE_METHOD!$C$44+data_SCORING!AA12*SCORE_METHOD!$C$45+data_SCORING!AB12*SCORE_METHOD!$C$46+data_SCORING!AC12*SCORE_METHOD!$C$47</f>
        <v>1.7303571428571429</v>
      </c>
    </row>
    <row r="13" spans="1:30" x14ac:dyDescent="0.25">
      <c r="A13" t="s">
        <v>41</v>
      </c>
      <c r="B13">
        <v>41.656805026699899</v>
      </c>
      <c r="C13">
        <f>IF(data_CLEAN!C13&lt;=SCORE_METHOD!$B$7,SCORE_METHOD!$N$6,IF(data_CLEAN!C13&lt;=SCORE_METHOD!$B$8,SCORE_METHOD!$N$7,SCORE_METHOD!$N$8))</f>
        <v>3</v>
      </c>
      <c r="D13">
        <f>IF(data_CLEAN!D13&lt;=SCORE_METHOD!$C$7,SCORE_METHOD!$N$6,IF(data_CLEAN!D13&lt;=SCORE_METHOD!$C$8,SCORE_METHOD!$N$7,SCORE_METHOD!$N$8))</f>
        <v>3</v>
      </c>
      <c r="E13">
        <f>IF(data_CLEAN!E13&lt;=SCORE_METHOD!$D$7,SCORE_METHOD!$N$6,IF(data_CLEAN!E13&lt;=SCORE_METHOD!$D$8,SCORE_METHOD!$N$7,SCORE_METHOD!$N$8))</f>
        <v>1</v>
      </c>
      <c r="F13">
        <f>IF(data_CLEAN!F13&lt;=SCORE_METHOD!$E$7,SCORE_METHOD!$N$6,IF(data_CLEAN!F13&lt;=SCORE_METHOD!$E$8,SCORE_METHOD!$N$7,SCORE_METHOD!$N$8))</f>
        <v>1</v>
      </c>
      <c r="G13">
        <f>IF(data_CLEAN!G13&lt;=SCORE_METHOD!$F$7,SCORE_METHOD!$N$6,IF(data_CLEAN!G13&lt;=SCORE_METHOD!$F$8,SCORE_METHOD!$N$7,SCORE_METHOD!$N$8))</f>
        <v>1</v>
      </c>
      <c r="H13">
        <f>VLOOKUP(data_CLEAN!H13,SCORE_METHOD!$A$13:$B$15,2,FALSE)</f>
        <v>1</v>
      </c>
      <c r="I13">
        <f>VLOOKUP(data_CLEAN!I13,SCORE_METHOD!$A$13:$C$15,3,FALSE)</f>
        <v>3</v>
      </c>
      <c r="J13">
        <f>VLOOKUP(data_CLEAN!J13,SCORE_METHOD!$A$13:$D$15,4,FALSE)</f>
        <v>1</v>
      </c>
      <c r="K13">
        <f>VLOOKUP(data_CLEAN!K13,SCORE_METHOD!$A$13:$E$15,5,FALSE)</f>
        <v>3</v>
      </c>
      <c r="L13">
        <f>VLOOKUP(data_CLEAN!L13,SCORE_METHOD!$A$19:$B$21,2,FALSE)</f>
        <v>3</v>
      </c>
      <c r="M13">
        <f>IF(data_CLEAN!M13&lt;=SCORE_METHOD!$G$7,SCORE_METHOD!$N$6,IF(data_CLEAN!M13&lt;=SCORE_METHOD!$G$8,SCORE_METHOD!$N$7,SCORE_METHOD!$N$8))</f>
        <v>1</v>
      </c>
      <c r="N13">
        <f>IF(data_CLEAN!N13&lt;=SCORE_METHOD!$H$7,SCORE_METHOD!$N$6,IF(data_CLEAN!N13&lt;=SCORE_METHOD!$H$8,SCORE_METHOD!$N$7,SCORE_METHOD!$N$8))</f>
        <v>1</v>
      </c>
      <c r="O13">
        <f>VLOOKUP(data_CLEAN!O13,SCORE_METHOD!$A$25:$C$26,3,FALSE)</f>
        <v>1</v>
      </c>
      <c r="P13">
        <f>IF(data_CLEAN!P13&lt;=SCORE_METHOD!$I$7,SCORE_METHOD!$N$6,IF(data_CLEAN!P13&lt;=SCORE_METHOD!$I$8,SCORE_METHOD!$N$7,SCORE_METHOD!$N$8))</f>
        <v>2</v>
      </c>
      <c r="Q13">
        <f>IF(data_CLEAN!Q13&lt;=SCORE_METHOD!$B$31,SCORE_METHOD!$C$30,IF(data_CLEAN!Q13&lt;=SCORE_METHOD!$B$32,SCORE_METHOD!$C$31,SCORE_METHOD!$C$32))</f>
        <v>3</v>
      </c>
      <c r="R13">
        <f>IF(data_CLEAN!R13&lt;=SCORE_METHOD!$J$7,SCORE_METHOD!$N$6,IF(data_CLEAN!S13&lt;=SCORE_METHOD!$J$8,SCORE_METHOD!$N$7,SCORE_METHOD!$N$8))</f>
        <v>3</v>
      </c>
      <c r="S13">
        <f>IF(data_CLEAN!S13&lt;=SCORE_METHOD!$D$31,SCORE_METHOD!$E$30,IF(data_CLEAN!S13&lt;=SCORE_METHOD!$D$32,SCORE_METHOD!$E$31,SCORE_METHOD!$E$32))</f>
        <v>1</v>
      </c>
      <c r="T13">
        <f>VLOOKUP(data_CLEAN!T13,SCORE_METHOD!$A$25:$E$26,5,FALSE)</f>
        <v>0</v>
      </c>
      <c r="U13">
        <f>IF(data_CLEAN!U13=1,SCORE_METHOD!$B$37,SCORE_METHOD!$B$38)</f>
        <v>1</v>
      </c>
      <c r="V13">
        <f>IF(data_CLEAN!V13&lt;=SCORE_METHOD!$K$7,SCORE_METHOD!$N$6,IF(data_CLEAN!V13&lt;=SCORE_METHOD!$K$8,SCORE_METHOD!$N$7,SCORE_METHOD!$N$8))</f>
        <v>1</v>
      </c>
      <c r="W13">
        <f>IF(data_CLEAN!W13&lt;=SCORE_METHOD!$L$7,SCORE_METHOD!$N$6,IF(data_CLEAN!W13&lt;=SCORE_METHOD!$L$8,SCORE_METHOD!$N$7,SCORE_METHOD!$N$8))</f>
        <v>2</v>
      </c>
      <c r="X13">
        <f>IF(data_CLEAN!X13&lt;=SCORE_METHOD!$M$7,SCORE_METHOD!$N$6,IF(data_CLEAN!X13&lt;=SCORE_METHOD!$M$8,SCORE_METHOD!$N$7,SCORE_METHOD!$N$8))</f>
        <v>1</v>
      </c>
      <c r="Y13">
        <f>VLOOKUP(data_CLEAN!Y13,SCORE_METHOD!$A$13:$F$15,6,FALSE)</f>
        <v>2</v>
      </c>
      <c r="Z13">
        <f>SUM(C13:L13)*SCORE_METHOD!$E$53</f>
        <v>2</v>
      </c>
      <c r="AA13">
        <f>SUM(M13:N13)*SCORE_METHOD!$E$63</f>
        <v>1</v>
      </c>
      <c r="AB13">
        <f>SUM(O13:U13)*SCORE_METHOD!$E$65</f>
        <v>1.5714285714285714</v>
      </c>
      <c r="AC13">
        <f>SUM(V13:Y13)*SCORE_METHOD!$E$72</f>
        <v>1.5</v>
      </c>
      <c r="AD13">
        <f>Z13*SCORE_METHOD!$C$44+data_SCORING!AA13*SCORE_METHOD!$C$45+data_SCORING!AB13*SCORE_METHOD!$C$46+data_SCORING!AC13*SCORE_METHOD!$C$47</f>
        <v>1.5178571428571428</v>
      </c>
    </row>
    <row r="14" spans="1:30" x14ac:dyDescent="0.25">
      <c r="A14" t="s">
        <v>42</v>
      </c>
      <c r="B14">
        <v>18.352812943499899</v>
      </c>
      <c r="C14">
        <f>IF(data_CLEAN!C14&lt;=SCORE_METHOD!$B$7,SCORE_METHOD!$N$6,IF(data_CLEAN!C14&lt;=SCORE_METHOD!$B$8,SCORE_METHOD!$N$7,SCORE_METHOD!$N$8))</f>
        <v>2</v>
      </c>
      <c r="D14">
        <f>IF(data_CLEAN!D14&lt;=SCORE_METHOD!$C$7,SCORE_METHOD!$N$6,IF(data_CLEAN!D14&lt;=SCORE_METHOD!$C$8,SCORE_METHOD!$N$7,SCORE_METHOD!$N$8))</f>
        <v>1</v>
      </c>
      <c r="E14">
        <f>IF(data_CLEAN!E14&lt;=SCORE_METHOD!$D$7,SCORE_METHOD!$N$6,IF(data_CLEAN!E14&lt;=SCORE_METHOD!$D$8,SCORE_METHOD!$N$7,SCORE_METHOD!$N$8))</f>
        <v>1</v>
      </c>
      <c r="F14">
        <f>IF(data_CLEAN!F14&lt;=SCORE_METHOD!$E$7,SCORE_METHOD!$N$6,IF(data_CLEAN!F14&lt;=SCORE_METHOD!$E$8,SCORE_METHOD!$N$7,SCORE_METHOD!$N$8))</f>
        <v>3</v>
      </c>
      <c r="G14">
        <f>IF(data_CLEAN!G14&lt;=SCORE_METHOD!$F$7,SCORE_METHOD!$N$6,IF(data_CLEAN!G14&lt;=SCORE_METHOD!$F$8,SCORE_METHOD!$N$7,SCORE_METHOD!$N$8))</f>
        <v>1</v>
      </c>
      <c r="H14">
        <f>VLOOKUP(data_CLEAN!H14,SCORE_METHOD!$A$13:$B$15,2,FALSE)</f>
        <v>1</v>
      </c>
      <c r="I14">
        <f>VLOOKUP(data_CLEAN!I14,SCORE_METHOD!$A$13:$C$15,3,FALSE)</f>
        <v>3</v>
      </c>
      <c r="J14">
        <f>VLOOKUP(data_CLEAN!J14,SCORE_METHOD!$A$13:$D$15,4,FALSE)</f>
        <v>1</v>
      </c>
      <c r="K14">
        <f>VLOOKUP(data_CLEAN!K14,SCORE_METHOD!$A$13:$E$15,5,FALSE)</f>
        <v>3</v>
      </c>
      <c r="L14">
        <f>VLOOKUP(data_CLEAN!L14,SCORE_METHOD!$A$19:$B$21,2,FALSE)</f>
        <v>1</v>
      </c>
      <c r="M14">
        <f>IF(data_CLEAN!M14&lt;=SCORE_METHOD!$G$7,SCORE_METHOD!$N$6,IF(data_CLEAN!M14&lt;=SCORE_METHOD!$G$8,SCORE_METHOD!$N$7,SCORE_METHOD!$N$8))</f>
        <v>1</v>
      </c>
      <c r="N14">
        <f>IF(data_CLEAN!N14&lt;=SCORE_METHOD!$H$7,SCORE_METHOD!$N$6,IF(data_CLEAN!N14&lt;=SCORE_METHOD!$H$8,SCORE_METHOD!$N$7,SCORE_METHOD!$N$8))</f>
        <v>1</v>
      </c>
      <c r="O14">
        <f>VLOOKUP(data_CLEAN!O14,SCORE_METHOD!$A$25:$C$26,3,FALSE)</f>
        <v>1</v>
      </c>
      <c r="P14">
        <f>IF(data_CLEAN!P14&lt;=SCORE_METHOD!$I$7,SCORE_METHOD!$N$6,IF(data_CLEAN!P14&lt;=SCORE_METHOD!$I$8,SCORE_METHOD!$N$7,SCORE_METHOD!$N$8))</f>
        <v>2</v>
      </c>
      <c r="Q14">
        <f>IF(data_CLEAN!Q14&lt;=SCORE_METHOD!$B$31,SCORE_METHOD!$C$30,IF(data_CLEAN!Q14&lt;=SCORE_METHOD!$B$32,SCORE_METHOD!$C$31,SCORE_METHOD!$C$32))</f>
        <v>3</v>
      </c>
      <c r="R14">
        <f>IF(data_CLEAN!R14&lt;=SCORE_METHOD!$J$7,SCORE_METHOD!$N$6,IF(data_CLEAN!S14&lt;=SCORE_METHOD!$J$8,SCORE_METHOD!$N$7,SCORE_METHOD!$N$8))</f>
        <v>1</v>
      </c>
      <c r="S14">
        <f>IF(data_CLEAN!S14&lt;=SCORE_METHOD!$D$31,SCORE_METHOD!$E$30,IF(data_CLEAN!S14&lt;=SCORE_METHOD!$D$32,SCORE_METHOD!$E$31,SCORE_METHOD!$E$32))</f>
        <v>3</v>
      </c>
      <c r="T14">
        <f>VLOOKUP(data_CLEAN!T14,SCORE_METHOD!$A$25:$E$26,5,FALSE)</f>
        <v>0</v>
      </c>
      <c r="U14">
        <f>IF(data_CLEAN!U14=1,SCORE_METHOD!$B$37,SCORE_METHOD!$B$38)</f>
        <v>1</v>
      </c>
      <c r="V14">
        <f>IF(data_CLEAN!V14&lt;=SCORE_METHOD!$K$7,SCORE_METHOD!$N$6,IF(data_CLEAN!V14&lt;=SCORE_METHOD!$K$8,SCORE_METHOD!$N$7,SCORE_METHOD!$N$8))</f>
        <v>2</v>
      </c>
      <c r="W14">
        <f>IF(data_CLEAN!W14&lt;=SCORE_METHOD!$L$7,SCORE_METHOD!$N$6,IF(data_CLEAN!W14&lt;=SCORE_METHOD!$L$8,SCORE_METHOD!$N$7,SCORE_METHOD!$N$8))</f>
        <v>2</v>
      </c>
      <c r="X14">
        <f>IF(data_CLEAN!X14&lt;=SCORE_METHOD!$M$7,SCORE_METHOD!$N$6,IF(data_CLEAN!X14&lt;=SCORE_METHOD!$M$8,SCORE_METHOD!$N$7,SCORE_METHOD!$N$8))</f>
        <v>2</v>
      </c>
      <c r="Y14">
        <f>VLOOKUP(data_CLEAN!Y14,SCORE_METHOD!$A$13:$F$15,6,FALSE)</f>
        <v>3</v>
      </c>
      <c r="Z14">
        <f>SUM(C14:L14)*SCORE_METHOD!$E$53</f>
        <v>1.7000000000000002</v>
      </c>
      <c r="AA14">
        <f>SUM(M14:N14)*SCORE_METHOD!$E$63</f>
        <v>1</v>
      </c>
      <c r="AB14">
        <f>SUM(O14:U14)*SCORE_METHOD!$E$65</f>
        <v>1.5714285714285714</v>
      </c>
      <c r="AC14">
        <f>SUM(V14:Y14)*SCORE_METHOD!$E$72</f>
        <v>2.25</v>
      </c>
      <c r="AD14">
        <f>Z14*SCORE_METHOD!$C$44+data_SCORING!AA14*SCORE_METHOD!$C$45+data_SCORING!AB14*SCORE_METHOD!$C$46+data_SCORING!AC14*SCORE_METHOD!$C$47</f>
        <v>1.6303571428571428</v>
      </c>
    </row>
    <row r="15" spans="1:30" x14ac:dyDescent="0.25">
      <c r="A15" t="s">
        <v>43</v>
      </c>
      <c r="B15">
        <v>44.268066668400003</v>
      </c>
      <c r="C15">
        <f>IF(data_CLEAN!C15&lt;=SCORE_METHOD!$B$7,SCORE_METHOD!$N$6,IF(data_CLEAN!C15&lt;=SCORE_METHOD!$B$8,SCORE_METHOD!$N$7,SCORE_METHOD!$N$8))</f>
        <v>1</v>
      </c>
      <c r="D15">
        <f>IF(data_CLEAN!D15&lt;=SCORE_METHOD!$C$7,SCORE_METHOD!$N$6,IF(data_CLEAN!D15&lt;=SCORE_METHOD!$C$8,SCORE_METHOD!$N$7,SCORE_METHOD!$N$8))</f>
        <v>1</v>
      </c>
      <c r="E15">
        <f>IF(data_CLEAN!E15&lt;=SCORE_METHOD!$D$7,SCORE_METHOD!$N$6,IF(data_CLEAN!E15&lt;=SCORE_METHOD!$D$8,SCORE_METHOD!$N$7,SCORE_METHOD!$N$8))</f>
        <v>2</v>
      </c>
      <c r="F15">
        <f>IF(data_CLEAN!F15&lt;=SCORE_METHOD!$E$7,SCORE_METHOD!$N$6,IF(data_CLEAN!F15&lt;=SCORE_METHOD!$E$8,SCORE_METHOD!$N$7,SCORE_METHOD!$N$8))</f>
        <v>3</v>
      </c>
      <c r="G15">
        <f>IF(data_CLEAN!G15&lt;=SCORE_METHOD!$F$7,SCORE_METHOD!$N$6,IF(data_CLEAN!G15&lt;=SCORE_METHOD!$F$8,SCORE_METHOD!$N$7,SCORE_METHOD!$N$8))</f>
        <v>3</v>
      </c>
      <c r="H15">
        <f>VLOOKUP(data_CLEAN!H15,SCORE_METHOD!$A$13:$B$15,2,FALSE)</f>
        <v>1</v>
      </c>
      <c r="I15">
        <f>VLOOKUP(data_CLEAN!I15,SCORE_METHOD!$A$13:$C$15,3,FALSE)</f>
        <v>1</v>
      </c>
      <c r="J15">
        <f>VLOOKUP(data_CLEAN!J15,SCORE_METHOD!$A$13:$D$15,4,FALSE)</f>
        <v>1</v>
      </c>
      <c r="K15">
        <f>VLOOKUP(data_CLEAN!K15,SCORE_METHOD!$A$13:$E$15,5,FALSE)</f>
        <v>1</v>
      </c>
      <c r="L15">
        <f>VLOOKUP(data_CLEAN!L15,SCORE_METHOD!$A$19:$B$21,2,FALSE)</f>
        <v>3</v>
      </c>
      <c r="M15">
        <f>IF(data_CLEAN!M15&lt;=SCORE_METHOD!$G$7,SCORE_METHOD!$N$6,IF(data_CLEAN!M15&lt;=SCORE_METHOD!$G$8,SCORE_METHOD!$N$7,SCORE_METHOD!$N$8))</f>
        <v>1</v>
      </c>
      <c r="N15">
        <f>IF(data_CLEAN!N15&lt;=SCORE_METHOD!$H$7,SCORE_METHOD!$N$6,IF(data_CLEAN!N15&lt;=SCORE_METHOD!$H$8,SCORE_METHOD!$N$7,SCORE_METHOD!$N$8))</f>
        <v>1</v>
      </c>
      <c r="O15">
        <f>VLOOKUP(data_CLEAN!O15,SCORE_METHOD!$A$25:$C$26,3,FALSE)</f>
        <v>1</v>
      </c>
      <c r="P15">
        <f>IF(data_CLEAN!P15&lt;=SCORE_METHOD!$I$7,SCORE_METHOD!$N$6,IF(data_CLEAN!P15&lt;=SCORE_METHOD!$I$8,SCORE_METHOD!$N$7,SCORE_METHOD!$N$8))</f>
        <v>3</v>
      </c>
      <c r="Q15">
        <f>IF(data_CLEAN!Q15&lt;=SCORE_METHOD!$B$31,SCORE_METHOD!$C$30,IF(data_CLEAN!Q15&lt;=SCORE_METHOD!$B$32,SCORE_METHOD!$C$31,SCORE_METHOD!$C$32))</f>
        <v>3</v>
      </c>
      <c r="R15">
        <f>IF(data_CLEAN!R15&lt;=SCORE_METHOD!$J$7,SCORE_METHOD!$N$6,IF(data_CLEAN!S15&lt;=SCORE_METHOD!$J$8,SCORE_METHOD!$N$7,SCORE_METHOD!$N$8))</f>
        <v>2</v>
      </c>
      <c r="S15">
        <f>IF(data_CLEAN!S15&lt;=SCORE_METHOD!$D$31,SCORE_METHOD!$E$30,IF(data_CLEAN!S15&lt;=SCORE_METHOD!$D$32,SCORE_METHOD!$E$31,SCORE_METHOD!$E$32))</f>
        <v>2</v>
      </c>
      <c r="T15">
        <f>VLOOKUP(data_CLEAN!T15,SCORE_METHOD!$A$25:$E$26,5,FALSE)</f>
        <v>0</v>
      </c>
      <c r="U15">
        <f>IF(data_CLEAN!U15=1,SCORE_METHOD!$B$37,SCORE_METHOD!$B$38)</f>
        <v>1</v>
      </c>
      <c r="V15">
        <f>IF(data_CLEAN!V15&lt;=SCORE_METHOD!$K$7,SCORE_METHOD!$N$6,IF(data_CLEAN!V15&lt;=SCORE_METHOD!$K$8,SCORE_METHOD!$N$7,SCORE_METHOD!$N$8))</f>
        <v>1</v>
      </c>
      <c r="W15">
        <f>IF(data_CLEAN!W15&lt;=SCORE_METHOD!$L$7,SCORE_METHOD!$N$6,IF(data_CLEAN!W15&lt;=SCORE_METHOD!$L$8,SCORE_METHOD!$N$7,SCORE_METHOD!$N$8))</f>
        <v>1</v>
      </c>
      <c r="X15">
        <f>IF(data_CLEAN!X15&lt;=SCORE_METHOD!$M$7,SCORE_METHOD!$N$6,IF(data_CLEAN!X15&lt;=SCORE_METHOD!$M$8,SCORE_METHOD!$N$7,SCORE_METHOD!$N$8))</f>
        <v>1</v>
      </c>
      <c r="Y15">
        <f>VLOOKUP(data_CLEAN!Y15,SCORE_METHOD!$A$13:$F$15,6,FALSE)</f>
        <v>1</v>
      </c>
      <c r="Z15">
        <f>SUM(C15:L15)*SCORE_METHOD!$E$53</f>
        <v>1.7000000000000002</v>
      </c>
      <c r="AA15">
        <f>SUM(M15:N15)*SCORE_METHOD!$E$63</f>
        <v>1</v>
      </c>
      <c r="AB15">
        <f>SUM(O15:U15)*SCORE_METHOD!$E$65</f>
        <v>1.7142857142857142</v>
      </c>
      <c r="AC15">
        <f>SUM(V15:Y15)*SCORE_METHOD!$E$72</f>
        <v>1</v>
      </c>
      <c r="AD15">
        <f>Z15*SCORE_METHOD!$C$44+data_SCORING!AA15*SCORE_METHOD!$C$45+data_SCORING!AB15*SCORE_METHOD!$C$46+data_SCORING!AC15*SCORE_METHOD!$C$47</f>
        <v>1.3535714285714286</v>
      </c>
    </row>
    <row r="16" spans="1:30" x14ac:dyDescent="0.25">
      <c r="A16" t="s">
        <v>44</v>
      </c>
      <c r="B16">
        <v>4.2164203195200001</v>
      </c>
      <c r="C16">
        <f>IF(data_CLEAN!C16&lt;=SCORE_METHOD!$B$7,SCORE_METHOD!$N$6,IF(data_CLEAN!C16&lt;=SCORE_METHOD!$B$8,SCORE_METHOD!$N$7,SCORE_METHOD!$N$8))</f>
        <v>3</v>
      </c>
      <c r="D16">
        <f>IF(data_CLEAN!D16&lt;=SCORE_METHOD!$C$7,SCORE_METHOD!$N$6,IF(data_CLEAN!D16&lt;=SCORE_METHOD!$C$8,SCORE_METHOD!$N$7,SCORE_METHOD!$N$8))</f>
        <v>3</v>
      </c>
      <c r="E16">
        <f>IF(data_CLEAN!E16&lt;=SCORE_METHOD!$D$7,SCORE_METHOD!$N$6,IF(data_CLEAN!E16&lt;=SCORE_METHOD!$D$8,SCORE_METHOD!$N$7,SCORE_METHOD!$N$8))</f>
        <v>1</v>
      </c>
      <c r="F16">
        <f>IF(data_CLEAN!F16&lt;=SCORE_METHOD!$E$7,SCORE_METHOD!$N$6,IF(data_CLEAN!F16&lt;=SCORE_METHOD!$E$8,SCORE_METHOD!$N$7,SCORE_METHOD!$N$8))</f>
        <v>1</v>
      </c>
      <c r="G16">
        <f>IF(data_CLEAN!G16&lt;=SCORE_METHOD!$F$7,SCORE_METHOD!$N$6,IF(data_CLEAN!G16&lt;=SCORE_METHOD!$F$8,SCORE_METHOD!$N$7,SCORE_METHOD!$N$8))</f>
        <v>1</v>
      </c>
      <c r="H16">
        <f>VLOOKUP(data_CLEAN!H16,SCORE_METHOD!$A$13:$B$15,2,FALSE)</f>
        <v>1</v>
      </c>
      <c r="I16">
        <f>VLOOKUP(data_CLEAN!I16,SCORE_METHOD!$A$13:$C$15,3,FALSE)</f>
        <v>1</v>
      </c>
      <c r="J16">
        <f>VLOOKUP(data_CLEAN!J16,SCORE_METHOD!$A$13:$D$15,4,FALSE)</f>
        <v>1</v>
      </c>
      <c r="K16">
        <f>VLOOKUP(data_CLEAN!K16,SCORE_METHOD!$A$13:$E$15,5,FALSE)</f>
        <v>3</v>
      </c>
      <c r="L16">
        <f>VLOOKUP(data_CLEAN!L16,SCORE_METHOD!$A$19:$B$21,2,FALSE)</f>
        <v>3</v>
      </c>
      <c r="M16">
        <f>IF(data_CLEAN!M16&lt;=SCORE_METHOD!$G$7,SCORE_METHOD!$N$6,IF(data_CLEAN!M16&lt;=SCORE_METHOD!$G$8,SCORE_METHOD!$N$7,SCORE_METHOD!$N$8))</f>
        <v>2</v>
      </c>
      <c r="N16">
        <f>IF(data_CLEAN!N16&lt;=SCORE_METHOD!$H$7,SCORE_METHOD!$N$6,IF(data_CLEAN!N16&lt;=SCORE_METHOD!$H$8,SCORE_METHOD!$N$7,SCORE_METHOD!$N$8))</f>
        <v>1</v>
      </c>
      <c r="O16">
        <f>VLOOKUP(data_CLEAN!O16,SCORE_METHOD!$A$25:$C$26,3,FALSE)</f>
        <v>1</v>
      </c>
      <c r="P16">
        <f>IF(data_CLEAN!P16&lt;=SCORE_METHOD!$I$7,SCORE_METHOD!$N$6,IF(data_CLEAN!P16&lt;=SCORE_METHOD!$I$8,SCORE_METHOD!$N$7,SCORE_METHOD!$N$8))</f>
        <v>3</v>
      </c>
      <c r="Q16">
        <f>IF(data_CLEAN!Q16&lt;=SCORE_METHOD!$B$31,SCORE_METHOD!$C$30,IF(data_CLEAN!Q16&lt;=SCORE_METHOD!$B$32,SCORE_METHOD!$C$31,SCORE_METHOD!$C$32))</f>
        <v>3</v>
      </c>
      <c r="R16">
        <f>IF(data_CLEAN!R16&lt;=SCORE_METHOD!$J$7,SCORE_METHOD!$N$6,IF(data_CLEAN!S16&lt;=SCORE_METHOD!$J$8,SCORE_METHOD!$N$7,SCORE_METHOD!$N$8))</f>
        <v>1</v>
      </c>
      <c r="S16">
        <f>IF(data_CLEAN!S16&lt;=SCORE_METHOD!$D$31,SCORE_METHOD!$E$30,IF(data_CLEAN!S16&lt;=SCORE_METHOD!$D$32,SCORE_METHOD!$E$31,SCORE_METHOD!$E$32))</f>
        <v>3</v>
      </c>
      <c r="T16">
        <f>VLOOKUP(data_CLEAN!T16,SCORE_METHOD!$A$25:$E$26,5,FALSE)</f>
        <v>0</v>
      </c>
      <c r="U16">
        <f>IF(data_CLEAN!U16=1,SCORE_METHOD!$B$37,SCORE_METHOD!$B$38)</f>
        <v>1</v>
      </c>
      <c r="V16">
        <f>IF(data_CLEAN!V16&lt;=SCORE_METHOD!$K$7,SCORE_METHOD!$N$6,IF(data_CLEAN!V16&lt;=SCORE_METHOD!$K$8,SCORE_METHOD!$N$7,SCORE_METHOD!$N$8))</f>
        <v>2</v>
      </c>
      <c r="W16">
        <f>IF(data_CLEAN!W16&lt;=SCORE_METHOD!$L$7,SCORE_METHOD!$N$6,IF(data_CLEAN!W16&lt;=SCORE_METHOD!$L$8,SCORE_METHOD!$N$7,SCORE_METHOD!$N$8))</f>
        <v>2</v>
      </c>
      <c r="X16">
        <f>IF(data_CLEAN!X16&lt;=SCORE_METHOD!$M$7,SCORE_METHOD!$N$6,IF(data_CLEAN!X16&lt;=SCORE_METHOD!$M$8,SCORE_METHOD!$N$7,SCORE_METHOD!$N$8))</f>
        <v>1</v>
      </c>
      <c r="Y16">
        <f>VLOOKUP(data_CLEAN!Y16,SCORE_METHOD!$A$13:$F$15,6,FALSE)</f>
        <v>3</v>
      </c>
      <c r="Z16">
        <f>SUM(C16:L16)*SCORE_METHOD!$E$53</f>
        <v>1.8</v>
      </c>
      <c r="AA16">
        <f>SUM(M16:N16)*SCORE_METHOD!$E$63</f>
        <v>1.5</v>
      </c>
      <c r="AB16">
        <f>SUM(O16:U16)*SCORE_METHOD!$E$65</f>
        <v>1.7142857142857142</v>
      </c>
      <c r="AC16">
        <f>SUM(V16:Y16)*SCORE_METHOD!$E$72</f>
        <v>2</v>
      </c>
      <c r="AD16">
        <f>Z16*SCORE_METHOD!$C$44+data_SCORING!AA16*SCORE_METHOD!$C$45+data_SCORING!AB16*SCORE_METHOD!$C$46+data_SCORING!AC16*SCORE_METHOD!$C$47</f>
        <v>1.7535714285714286</v>
      </c>
    </row>
    <row r="17" spans="1:30" x14ac:dyDescent="0.25">
      <c r="A17" t="s">
        <v>45</v>
      </c>
      <c r="B17">
        <v>26.949391069800001</v>
      </c>
      <c r="C17">
        <f>IF(data_CLEAN!C17&lt;=SCORE_METHOD!$B$7,SCORE_METHOD!$N$6,IF(data_CLEAN!C17&lt;=SCORE_METHOD!$B$8,SCORE_METHOD!$N$7,SCORE_METHOD!$N$8))</f>
        <v>1</v>
      </c>
      <c r="D17">
        <f>IF(data_CLEAN!D17&lt;=SCORE_METHOD!$C$7,SCORE_METHOD!$N$6,IF(data_CLEAN!D17&lt;=SCORE_METHOD!$C$8,SCORE_METHOD!$N$7,SCORE_METHOD!$N$8))</f>
        <v>1</v>
      </c>
      <c r="E17">
        <f>IF(data_CLEAN!E17&lt;=SCORE_METHOD!$D$7,SCORE_METHOD!$N$6,IF(data_CLEAN!E17&lt;=SCORE_METHOD!$D$8,SCORE_METHOD!$N$7,SCORE_METHOD!$N$8))</f>
        <v>1</v>
      </c>
      <c r="F17">
        <f>IF(data_CLEAN!F17&lt;=SCORE_METHOD!$E$7,SCORE_METHOD!$N$6,IF(data_CLEAN!F17&lt;=SCORE_METHOD!$E$8,SCORE_METHOD!$N$7,SCORE_METHOD!$N$8))</f>
        <v>1</v>
      </c>
      <c r="G17">
        <f>IF(data_CLEAN!G17&lt;=SCORE_METHOD!$F$7,SCORE_METHOD!$N$6,IF(data_CLEAN!G17&lt;=SCORE_METHOD!$F$8,SCORE_METHOD!$N$7,SCORE_METHOD!$N$8))</f>
        <v>1</v>
      </c>
      <c r="H17">
        <f>VLOOKUP(data_CLEAN!H17,SCORE_METHOD!$A$13:$B$15,2,FALSE)</f>
        <v>3</v>
      </c>
      <c r="I17">
        <f>VLOOKUP(data_CLEAN!I17,SCORE_METHOD!$A$13:$C$15,3,FALSE)</f>
        <v>3</v>
      </c>
      <c r="J17">
        <f>VLOOKUP(data_CLEAN!J17,SCORE_METHOD!$A$13:$D$15,4,FALSE)</f>
        <v>1</v>
      </c>
      <c r="K17">
        <f>VLOOKUP(data_CLEAN!K17,SCORE_METHOD!$A$13:$E$15,5,FALSE)</f>
        <v>3</v>
      </c>
      <c r="L17">
        <f>VLOOKUP(data_CLEAN!L17,SCORE_METHOD!$A$19:$B$21,2,FALSE)</f>
        <v>3</v>
      </c>
      <c r="M17">
        <f>IF(data_CLEAN!M17&lt;=SCORE_METHOD!$G$7,SCORE_METHOD!$N$6,IF(data_CLEAN!M17&lt;=SCORE_METHOD!$G$8,SCORE_METHOD!$N$7,SCORE_METHOD!$N$8))</f>
        <v>1</v>
      </c>
      <c r="N17">
        <f>IF(data_CLEAN!N17&lt;=SCORE_METHOD!$H$7,SCORE_METHOD!$N$6,IF(data_CLEAN!N17&lt;=SCORE_METHOD!$H$8,SCORE_METHOD!$N$7,SCORE_METHOD!$N$8))</f>
        <v>1</v>
      </c>
      <c r="O17">
        <f>VLOOKUP(data_CLEAN!O17,SCORE_METHOD!$A$25:$C$26,3,FALSE)</f>
        <v>1</v>
      </c>
      <c r="P17">
        <f>IF(data_CLEAN!P17&lt;=SCORE_METHOD!$I$7,SCORE_METHOD!$N$6,IF(data_CLEAN!P17&lt;=SCORE_METHOD!$I$8,SCORE_METHOD!$N$7,SCORE_METHOD!$N$8))</f>
        <v>3</v>
      </c>
      <c r="Q17">
        <f>IF(data_CLEAN!Q17&lt;=SCORE_METHOD!$B$31,SCORE_METHOD!$C$30,IF(data_CLEAN!Q17&lt;=SCORE_METHOD!$B$32,SCORE_METHOD!$C$31,SCORE_METHOD!$C$32))</f>
        <v>3</v>
      </c>
      <c r="R17">
        <f>IF(data_CLEAN!R17&lt;=SCORE_METHOD!$J$7,SCORE_METHOD!$N$6,IF(data_CLEAN!S17&lt;=SCORE_METHOD!$J$8,SCORE_METHOD!$N$7,SCORE_METHOD!$N$8))</f>
        <v>1</v>
      </c>
      <c r="S17">
        <f>IF(data_CLEAN!S17&lt;=SCORE_METHOD!$D$31,SCORE_METHOD!$E$30,IF(data_CLEAN!S17&lt;=SCORE_METHOD!$D$32,SCORE_METHOD!$E$31,SCORE_METHOD!$E$32))</f>
        <v>3</v>
      </c>
      <c r="T17">
        <f>VLOOKUP(data_CLEAN!T17,SCORE_METHOD!$A$25:$E$26,5,FALSE)</f>
        <v>0</v>
      </c>
      <c r="U17">
        <f>IF(data_CLEAN!U17=1,SCORE_METHOD!$B$37,SCORE_METHOD!$B$38)</f>
        <v>1</v>
      </c>
      <c r="V17">
        <f>IF(data_CLEAN!V17&lt;=SCORE_METHOD!$K$7,SCORE_METHOD!$N$6,IF(data_CLEAN!V17&lt;=SCORE_METHOD!$K$8,SCORE_METHOD!$N$7,SCORE_METHOD!$N$8))</f>
        <v>1</v>
      </c>
      <c r="W17">
        <f>IF(data_CLEAN!W17&lt;=SCORE_METHOD!$L$7,SCORE_METHOD!$N$6,IF(data_CLEAN!W17&lt;=SCORE_METHOD!$L$8,SCORE_METHOD!$N$7,SCORE_METHOD!$N$8))</f>
        <v>1</v>
      </c>
      <c r="X17">
        <f>IF(data_CLEAN!X17&lt;=SCORE_METHOD!$M$7,SCORE_METHOD!$N$6,IF(data_CLEAN!X17&lt;=SCORE_METHOD!$M$8,SCORE_METHOD!$N$7,SCORE_METHOD!$N$8))</f>
        <v>1</v>
      </c>
      <c r="Y17">
        <f>VLOOKUP(data_CLEAN!Y17,SCORE_METHOD!$A$13:$F$15,6,FALSE)</f>
        <v>2</v>
      </c>
      <c r="Z17">
        <f>SUM(C17:L17)*SCORE_METHOD!$E$53</f>
        <v>1.8</v>
      </c>
      <c r="AA17">
        <f>SUM(M17:N17)*SCORE_METHOD!$E$63</f>
        <v>1</v>
      </c>
      <c r="AB17">
        <f>SUM(O17:U17)*SCORE_METHOD!$E$65</f>
        <v>1.7142857142857142</v>
      </c>
      <c r="AC17">
        <f>SUM(V17:Y17)*SCORE_METHOD!$E$72</f>
        <v>1.25</v>
      </c>
      <c r="AD17">
        <f>Z17*SCORE_METHOD!$C$44+data_SCORING!AA17*SCORE_METHOD!$C$45+data_SCORING!AB17*SCORE_METHOD!$C$46+data_SCORING!AC17*SCORE_METHOD!$C$47</f>
        <v>1.4410714285714286</v>
      </c>
    </row>
    <row r="18" spans="1:30" x14ac:dyDescent="0.25">
      <c r="A18" t="s">
        <v>46</v>
      </c>
      <c r="B18">
        <v>4.1639821022800003</v>
      </c>
      <c r="C18">
        <f>IF(data_CLEAN!C18&lt;=SCORE_METHOD!$B$7,SCORE_METHOD!$N$6,IF(data_CLEAN!C18&lt;=SCORE_METHOD!$B$8,SCORE_METHOD!$N$7,SCORE_METHOD!$N$8))</f>
        <v>3</v>
      </c>
      <c r="D18">
        <f>IF(data_CLEAN!D18&lt;=SCORE_METHOD!$C$7,SCORE_METHOD!$N$6,IF(data_CLEAN!D18&lt;=SCORE_METHOD!$C$8,SCORE_METHOD!$N$7,SCORE_METHOD!$N$8))</f>
        <v>3</v>
      </c>
      <c r="E18">
        <f>IF(data_CLEAN!E18&lt;=SCORE_METHOD!$D$7,SCORE_METHOD!$N$6,IF(data_CLEAN!E18&lt;=SCORE_METHOD!$D$8,SCORE_METHOD!$N$7,SCORE_METHOD!$N$8))</f>
        <v>1</v>
      </c>
      <c r="F18">
        <f>IF(data_CLEAN!F18&lt;=SCORE_METHOD!$E$7,SCORE_METHOD!$N$6,IF(data_CLEAN!F18&lt;=SCORE_METHOD!$E$8,SCORE_METHOD!$N$7,SCORE_METHOD!$N$8))</f>
        <v>1</v>
      </c>
      <c r="G18">
        <f>IF(data_CLEAN!G18&lt;=SCORE_METHOD!$F$7,SCORE_METHOD!$N$6,IF(data_CLEAN!G18&lt;=SCORE_METHOD!$F$8,SCORE_METHOD!$N$7,SCORE_METHOD!$N$8))</f>
        <v>1</v>
      </c>
      <c r="H18">
        <f>VLOOKUP(data_CLEAN!H18,SCORE_METHOD!$A$13:$B$15,2,FALSE)</f>
        <v>1</v>
      </c>
      <c r="I18">
        <f>VLOOKUP(data_CLEAN!I18,SCORE_METHOD!$A$13:$C$15,3,FALSE)</f>
        <v>1</v>
      </c>
      <c r="J18">
        <f>VLOOKUP(data_CLEAN!J18,SCORE_METHOD!$A$13:$D$15,4,FALSE)</f>
        <v>1</v>
      </c>
      <c r="K18">
        <f>VLOOKUP(data_CLEAN!K18,SCORE_METHOD!$A$13:$E$15,5,FALSE)</f>
        <v>1</v>
      </c>
      <c r="L18">
        <f>VLOOKUP(data_CLEAN!L18,SCORE_METHOD!$A$19:$B$21,2,FALSE)</f>
        <v>2</v>
      </c>
      <c r="M18">
        <f>IF(data_CLEAN!M18&lt;=SCORE_METHOD!$G$7,SCORE_METHOD!$N$6,IF(data_CLEAN!M18&lt;=SCORE_METHOD!$G$8,SCORE_METHOD!$N$7,SCORE_METHOD!$N$8))</f>
        <v>1</v>
      </c>
      <c r="N18">
        <f>IF(data_CLEAN!N18&lt;=SCORE_METHOD!$H$7,SCORE_METHOD!$N$6,IF(data_CLEAN!N18&lt;=SCORE_METHOD!$H$8,SCORE_METHOD!$N$7,SCORE_METHOD!$N$8))</f>
        <v>2</v>
      </c>
      <c r="O18">
        <f>VLOOKUP(data_CLEAN!O18,SCORE_METHOD!$A$25:$C$26,3,FALSE)</f>
        <v>1</v>
      </c>
      <c r="P18">
        <f>IF(data_CLEAN!P18&lt;=SCORE_METHOD!$I$7,SCORE_METHOD!$N$6,IF(data_CLEAN!P18&lt;=SCORE_METHOD!$I$8,SCORE_METHOD!$N$7,SCORE_METHOD!$N$8))</f>
        <v>3</v>
      </c>
      <c r="Q18">
        <f>IF(data_CLEAN!Q18&lt;=SCORE_METHOD!$B$31,SCORE_METHOD!$C$30,IF(data_CLEAN!Q18&lt;=SCORE_METHOD!$B$32,SCORE_METHOD!$C$31,SCORE_METHOD!$C$32))</f>
        <v>1</v>
      </c>
      <c r="R18">
        <f>IF(data_CLEAN!R18&lt;=SCORE_METHOD!$J$7,SCORE_METHOD!$N$6,IF(data_CLEAN!S18&lt;=SCORE_METHOD!$J$8,SCORE_METHOD!$N$7,SCORE_METHOD!$N$8))</f>
        <v>1</v>
      </c>
      <c r="S18">
        <f>IF(data_CLEAN!S18&lt;=SCORE_METHOD!$D$31,SCORE_METHOD!$E$30,IF(data_CLEAN!S18&lt;=SCORE_METHOD!$D$32,SCORE_METHOD!$E$31,SCORE_METHOD!$E$32))</f>
        <v>1</v>
      </c>
      <c r="T18">
        <f>VLOOKUP(data_CLEAN!T18,SCORE_METHOD!$A$25:$E$26,5,FALSE)</f>
        <v>0</v>
      </c>
      <c r="U18">
        <f>IF(data_CLEAN!U18=1,SCORE_METHOD!$B$37,SCORE_METHOD!$B$38)</f>
        <v>1</v>
      </c>
      <c r="V18">
        <f>IF(data_CLEAN!V18&lt;=SCORE_METHOD!$K$7,SCORE_METHOD!$N$6,IF(data_CLEAN!V18&lt;=SCORE_METHOD!$K$8,SCORE_METHOD!$N$7,SCORE_METHOD!$N$8))</f>
        <v>1</v>
      </c>
      <c r="W18">
        <f>IF(data_CLEAN!W18&lt;=SCORE_METHOD!$L$7,SCORE_METHOD!$N$6,IF(data_CLEAN!W18&lt;=SCORE_METHOD!$L$8,SCORE_METHOD!$N$7,SCORE_METHOD!$N$8))</f>
        <v>3</v>
      </c>
      <c r="X18">
        <f>IF(data_CLEAN!X18&lt;=SCORE_METHOD!$M$7,SCORE_METHOD!$N$6,IF(data_CLEAN!X18&lt;=SCORE_METHOD!$M$8,SCORE_METHOD!$N$7,SCORE_METHOD!$N$8))</f>
        <v>1</v>
      </c>
      <c r="Y18">
        <f>VLOOKUP(data_CLEAN!Y18,SCORE_METHOD!$A$13:$F$15,6,FALSE)</f>
        <v>1</v>
      </c>
      <c r="Z18">
        <f>SUM(C18:L18)*SCORE_METHOD!$E$53</f>
        <v>1.5</v>
      </c>
      <c r="AA18">
        <f>SUM(M18:N18)*SCORE_METHOD!$E$63</f>
        <v>1.5</v>
      </c>
      <c r="AB18">
        <f>SUM(O18:U18)*SCORE_METHOD!$E$65</f>
        <v>1.1428571428571428</v>
      </c>
      <c r="AC18">
        <f>SUM(V18:Y18)*SCORE_METHOD!$E$72</f>
        <v>1.5</v>
      </c>
      <c r="AD18">
        <f>Z18*SCORE_METHOD!$C$44+data_SCORING!AA18*SCORE_METHOD!$C$45+data_SCORING!AB18*SCORE_METHOD!$C$46+data_SCORING!AC18*SCORE_METHOD!$C$47</f>
        <v>1.4107142857142856</v>
      </c>
    </row>
    <row r="19" spans="1:30" x14ac:dyDescent="0.25">
      <c r="A19" t="s">
        <v>47</v>
      </c>
      <c r="B19">
        <v>42.291837041199898</v>
      </c>
      <c r="C19">
        <f>IF(data_CLEAN!C19&lt;=SCORE_METHOD!$B$7,SCORE_METHOD!$N$6,IF(data_CLEAN!C19&lt;=SCORE_METHOD!$B$8,SCORE_METHOD!$N$7,SCORE_METHOD!$N$8))</f>
        <v>1</v>
      </c>
      <c r="D19">
        <f>IF(data_CLEAN!D19&lt;=SCORE_METHOD!$C$7,SCORE_METHOD!$N$6,IF(data_CLEAN!D19&lt;=SCORE_METHOD!$C$8,SCORE_METHOD!$N$7,SCORE_METHOD!$N$8))</f>
        <v>1</v>
      </c>
      <c r="E19">
        <f>IF(data_CLEAN!E19&lt;=SCORE_METHOD!$D$7,SCORE_METHOD!$N$6,IF(data_CLEAN!E19&lt;=SCORE_METHOD!$D$8,SCORE_METHOD!$N$7,SCORE_METHOD!$N$8))</f>
        <v>1</v>
      </c>
      <c r="F19">
        <f>IF(data_CLEAN!F19&lt;=SCORE_METHOD!$E$7,SCORE_METHOD!$N$6,IF(data_CLEAN!F19&lt;=SCORE_METHOD!$E$8,SCORE_METHOD!$N$7,SCORE_METHOD!$N$8))</f>
        <v>1</v>
      </c>
      <c r="G19">
        <f>IF(data_CLEAN!G19&lt;=SCORE_METHOD!$F$7,SCORE_METHOD!$N$6,IF(data_CLEAN!G19&lt;=SCORE_METHOD!$F$8,SCORE_METHOD!$N$7,SCORE_METHOD!$N$8))</f>
        <v>1</v>
      </c>
      <c r="H19">
        <f>VLOOKUP(data_CLEAN!H19,SCORE_METHOD!$A$13:$B$15,2,FALSE)</f>
        <v>1</v>
      </c>
      <c r="I19">
        <f>VLOOKUP(data_CLEAN!I19,SCORE_METHOD!$A$13:$C$15,3,FALSE)</f>
        <v>3</v>
      </c>
      <c r="J19">
        <f>VLOOKUP(data_CLEAN!J19,SCORE_METHOD!$A$13:$D$15,4,FALSE)</f>
        <v>1</v>
      </c>
      <c r="K19">
        <f>VLOOKUP(data_CLEAN!K19,SCORE_METHOD!$A$13:$E$15,5,FALSE)</f>
        <v>1</v>
      </c>
      <c r="L19">
        <f>VLOOKUP(data_CLEAN!L19,SCORE_METHOD!$A$19:$B$21,2,FALSE)</f>
        <v>3</v>
      </c>
      <c r="M19">
        <f>IF(data_CLEAN!M19&lt;=SCORE_METHOD!$G$7,SCORE_METHOD!$N$6,IF(data_CLEAN!M19&lt;=SCORE_METHOD!$G$8,SCORE_METHOD!$N$7,SCORE_METHOD!$N$8))</f>
        <v>1</v>
      </c>
      <c r="N19">
        <f>IF(data_CLEAN!N19&lt;=SCORE_METHOD!$H$7,SCORE_METHOD!$N$6,IF(data_CLEAN!N19&lt;=SCORE_METHOD!$H$8,SCORE_METHOD!$N$7,SCORE_METHOD!$N$8))</f>
        <v>1</v>
      </c>
      <c r="O19">
        <f>VLOOKUP(data_CLEAN!O19,SCORE_METHOD!$A$25:$C$26,3,FALSE)</f>
        <v>1</v>
      </c>
      <c r="P19">
        <f>IF(data_CLEAN!P19&lt;=SCORE_METHOD!$I$7,SCORE_METHOD!$N$6,IF(data_CLEAN!P19&lt;=SCORE_METHOD!$I$8,SCORE_METHOD!$N$7,SCORE_METHOD!$N$8))</f>
        <v>3</v>
      </c>
      <c r="Q19">
        <f>IF(data_CLEAN!Q19&lt;=SCORE_METHOD!$B$31,SCORE_METHOD!$C$30,IF(data_CLEAN!Q19&lt;=SCORE_METHOD!$B$32,SCORE_METHOD!$C$31,SCORE_METHOD!$C$32))</f>
        <v>3</v>
      </c>
      <c r="R19">
        <f>IF(data_CLEAN!R19&lt;=SCORE_METHOD!$J$7,SCORE_METHOD!$N$6,IF(data_CLEAN!S19&lt;=SCORE_METHOD!$J$8,SCORE_METHOD!$N$7,SCORE_METHOD!$N$8))</f>
        <v>1</v>
      </c>
      <c r="S19">
        <f>IF(data_CLEAN!S19&lt;=SCORE_METHOD!$D$31,SCORE_METHOD!$E$30,IF(data_CLEAN!S19&lt;=SCORE_METHOD!$D$32,SCORE_METHOD!$E$31,SCORE_METHOD!$E$32))</f>
        <v>3</v>
      </c>
      <c r="T19">
        <f>VLOOKUP(data_CLEAN!T19,SCORE_METHOD!$A$25:$E$26,5,FALSE)</f>
        <v>0</v>
      </c>
      <c r="U19">
        <f>IF(data_CLEAN!U19=1,SCORE_METHOD!$B$37,SCORE_METHOD!$B$38)</f>
        <v>1</v>
      </c>
      <c r="V19">
        <f>IF(data_CLEAN!V19&lt;=SCORE_METHOD!$K$7,SCORE_METHOD!$N$6,IF(data_CLEAN!V19&lt;=SCORE_METHOD!$K$8,SCORE_METHOD!$N$7,SCORE_METHOD!$N$8))</f>
        <v>1</v>
      </c>
      <c r="W19">
        <f>IF(data_CLEAN!W19&lt;=SCORE_METHOD!$L$7,SCORE_METHOD!$N$6,IF(data_CLEAN!W19&lt;=SCORE_METHOD!$L$8,SCORE_METHOD!$N$7,SCORE_METHOD!$N$8))</f>
        <v>1</v>
      </c>
      <c r="X19">
        <f>IF(data_CLEAN!X19&lt;=SCORE_METHOD!$M$7,SCORE_METHOD!$N$6,IF(data_CLEAN!X19&lt;=SCORE_METHOD!$M$8,SCORE_METHOD!$N$7,SCORE_METHOD!$N$8))</f>
        <v>3</v>
      </c>
      <c r="Y19">
        <f>VLOOKUP(data_CLEAN!Y19,SCORE_METHOD!$A$13:$F$15,6,FALSE)</f>
        <v>3</v>
      </c>
      <c r="Z19">
        <f>SUM(C19:L19)*SCORE_METHOD!$E$53</f>
        <v>1.4000000000000001</v>
      </c>
      <c r="AA19">
        <f>SUM(M19:N19)*SCORE_METHOD!$E$63</f>
        <v>1</v>
      </c>
      <c r="AB19">
        <f>SUM(O19:U19)*SCORE_METHOD!$E$65</f>
        <v>1.7142857142857142</v>
      </c>
      <c r="AC19">
        <f>SUM(V19:Y19)*SCORE_METHOD!$E$72</f>
        <v>2</v>
      </c>
      <c r="AD19">
        <f>Z19*SCORE_METHOD!$C$44+data_SCORING!AA19*SCORE_METHOD!$C$45+data_SCORING!AB19*SCORE_METHOD!$C$46+data_SCORING!AC19*SCORE_METHOD!$C$47</f>
        <v>1.5285714285714287</v>
      </c>
    </row>
    <row r="20" spans="1:30" x14ac:dyDescent="0.25">
      <c r="A20" t="s">
        <v>48</v>
      </c>
      <c r="B20">
        <v>182.860403915999</v>
      </c>
      <c r="C20">
        <f>IF(data_CLEAN!C20&lt;=SCORE_METHOD!$B$7,SCORE_METHOD!$N$6,IF(data_CLEAN!C20&lt;=SCORE_METHOD!$B$8,SCORE_METHOD!$N$7,SCORE_METHOD!$N$8))</f>
        <v>2</v>
      </c>
      <c r="D20">
        <f>IF(data_CLEAN!D20&lt;=SCORE_METHOD!$C$7,SCORE_METHOD!$N$6,IF(data_CLEAN!D20&lt;=SCORE_METHOD!$C$8,SCORE_METHOD!$N$7,SCORE_METHOD!$N$8))</f>
        <v>3</v>
      </c>
      <c r="E20">
        <f>IF(data_CLEAN!E20&lt;=SCORE_METHOD!$D$7,SCORE_METHOD!$N$6,IF(data_CLEAN!E20&lt;=SCORE_METHOD!$D$8,SCORE_METHOD!$N$7,SCORE_METHOD!$N$8))</f>
        <v>1</v>
      </c>
      <c r="F20">
        <f>IF(data_CLEAN!F20&lt;=SCORE_METHOD!$E$7,SCORE_METHOD!$N$6,IF(data_CLEAN!F20&lt;=SCORE_METHOD!$E$8,SCORE_METHOD!$N$7,SCORE_METHOD!$N$8))</f>
        <v>1</v>
      </c>
      <c r="G20">
        <f>IF(data_CLEAN!G20&lt;=SCORE_METHOD!$F$7,SCORE_METHOD!$N$6,IF(data_CLEAN!G20&lt;=SCORE_METHOD!$F$8,SCORE_METHOD!$N$7,SCORE_METHOD!$N$8))</f>
        <v>1</v>
      </c>
      <c r="H20">
        <f>VLOOKUP(data_CLEAN!H20,SCORE_METHOD!$A$13:$B$15,2,FALSE)</f>
        <v>1</v>
      </c>
      <c r="I20">
        <f>VLOOKUP(data_CLEAN!I20,SCORE_METHOD!$A$13:$C$15,3,FALSE)</f>
        <v>1</v>
      </c>
      <c r="J20">
        <f>VLOOKUP(data_CLEAN!J20,SCORE_METHOD!$A$13:$D$15,4,FALSE)</f>
        <v>1</v>
      </c>
      <c r="K20">
        <f>VLOOKUP(data_CLEAN!K20,SCORE_METHOD!$A$13:$E$15,5,FALSE)</f>
        <v>1</v>
      </c>
      <c r="L20">
        <f>VLOOKUP(data_CLEAN!L20,SCORE_METHOD!$A$19:$B$21,2,FALSE)</f>
        <v>2</v>
      </c>
      <c r="M20">
        <f>IF(data_CLEAN!M20&lt;=SCORE_METHOD!$G$7,SCORE_METHOD!$N$6,IF(data_CLEAN!M20&lt;=SCORE_METHOD!$G$8,SCORE_METHOD!$N$7,SCORE_METHOD!$N$8))</f>
        <v>2</v>
      </c>
      <c r="N20">
        <f>IF(data_CLEAN!N20&lt;=SCORE_METHOD!$H$7,SCORE_METHOD!$N$6,IF(data_CLEAN!N20&lt;=SCORE_METHOD!$H$8,SCORE_METHOD!$N$7,SCORE_METHOD!$N$8))</f>
        <v>3</v>
      </c>
      <c r="O20">
        <f>VLOOKUP(data_CLEAN!O20,SCORE_METHOD!$A$25:$C$26,3,FALSE)</f>
        <v>1</v>
      </c>
      <c r="P20">
        <f>IF(data_CLEAN!P20&lt;=SCORE_METHOD!$I$7,SCORE_METHOD!$N$6,IF(data_CLEAN!P20&lt;=SCORE_METHOD!$I$8,SCORE_METHOD!$N$7,SCORE_METHOD!$N$8))</f>
        <v>2</v>
      </c>
      <c r="Q20">
        <f>IF(data_CLEAN!Q20&lt;=SCORE_METHOD!$B$31,SCORE_METHOD!$C$30,IF(data_CLEAN!Q20&lt;=SCORE_METHOD!$B$32,SCORE_METHOD!$C$31,SCORE_METHOD!$C$32))</f>
        <v>2</v>
      </c>
      <c r="R20">
        <f>IF(data_CLEAN!R20&lt;=SCORE_METHOD!$J$7,SCORE_METHOD!$N$6,IF(data_CLEAN!S20&lt;=SCORE_METHOD!$J$8,SCORE_METHOD!$N$7,SCORE_METHOD!$N$8))</f>
        <v>2</v>
      </c>
      <c r="S20">
        <f>IF(data_CLEAN!S20&lt;=SCORE_METHOD!$D$31,SCORE_METHOD!$E$30,IF(data_CLEAN!S20&lt;=SCORE_METHOD!$D$32,SCORE_METHOD!$E$31,SCORE_METHOD!$E$32))</f>
        <v>3</v>
      </c>
      <c r="T20">
        <f>VLOOKUP(data_CLEAN!T20,SCORE_METHOD!$A$25:$E$26,5,FALSE)</f>
        <v>0</v>
      </c>
      <c r="U20">
        <f>IF(data_CLEAN!U20=1,SCORE_METHOD!$B$37,SCORE_METHOD!$B$38)</f>
        <v>1</v>
      </c>
      <c r="V20">
        <f>IF(data_CLEAN!V20&lt;=SCORE_METHOD!$K$7,SCORE_METHOD!$N$6,IF(data_CLEAN!V20&lt;=SCORE_METHOD!$K$8,SCORE_METHOD!$N$7,SCORE_METHOD!$N$8))</f>
        <v>3</v>
      </c>
      <c r="W20">
        <f>IF(data_CLEAN!W20&lt;=SCORE_METHOD!$L$7,SCORE_METHOD!$N$6,IF(data_CLEAN!W20&lt;=SCORE_METHOD!$L$8,SCORE_METHOD!$N$7,SCORE_METHOD!$N$8))</f>
        <v>3</v>
      </c>
      <c r="X20">
        <f>IF(data_CLEAN!X20&lt;=SCORE_METHOD!$M$7,SCORE_METHOD!$N$6,IF(data_CLEAN!X20&lt;=SCORE_METHOD!$M$8,SCORE_METHOD!$N$7,SCORE_METHOD!$N$8))</f>
        <v>3</v>
      </c>
      <c r="Y20">
        <f>VLOOKUP(data_CLEAN!Y20,SCORE_METHOD!$A$13:$F$15,6,FALSE)</f>
        <v>2</v>
      </c>
      <c r="Z20">
        <f>SUM(C20:L20)*SCORE_METHOD!$E$53</f>
        <v>1.4000000000000001</v>
      </c>
      <c r="AA20">
        <f>SUM(M20:N20)*SCORE_METHOD!$E$63</f>
        <v>2.5</v>
      </c>
      <c r="AB20">
        <f>SUM(O20:U20)*SCORE_METHOD!$E$65</f>
        <v>1.5714285714285714</v>
      </c>
      <c r="AC20">
        <f>SUM(V20:Y20)*SCORE_METHOD!$E$72</f>
        <v>2.75</v>
      </c>
      <c r="AD20">
        <f>Z20*SCORE_METHOD!$C$44+data_SCORING!AA20*SCORE_METHOD!$C$45+data_SCORING!AB20*SCORE_METHOD!$C$46+data_SCORING!AC20*SCORE_METHOD!$C$47</f>
        <v>2.0553571428571429</v>
      </c>
    </row>
    <row r="21" spans="1:30" x14ac:dyDescent="0.25">
      <c r="A21" t="s">
        <v>49</v>
      </c>
      <c r="B21">
        <v>20.2626475462</v>
      </c>
      <c r="C21">
        <f>IF(data_CLEAN!C21&lt;=SCORE_METHOD!$B$7,SCORE_METHOD!$N$6,IF(data_CLEAN!C21&lt;=SCORE_METHOD!$B$8,SCORE_METHOD!$N$7,SCORE_METHOD!$N$8))</f>
        <v>3</v>
      </c>
      <c r="D21">
        <f>IF(data_CLEAN!D21&lt;=SCORE_METHOD!$C$7,SCORE_METHOD!$N$6,IF(data_CLEAN!D21&lt;=SCORE_METHOD!$C$8,SCORE_METHOD!$N$7,SCORE_METHOD!$N$8))</f>
        <v>3</v>
      </c>
      <c r="E21">
        <f>IF(data_CLEAN!E21&lt;=SCORE_METHOD!$D$7,SCORE_METHOD!$N$6,IF(data_CLEAN!E21&lt;=SCORE_METHOD!$D$8,SCORE_METHOD!$N$7,SCORE_METHOD!$N$8))</f>
        <v>1</v>
      </c>
      <c r="F21">
        <f>IF(data_CLEAN!F21&lt;=SCORE_METHOD!$E$7,SCORE_METHOD!$N$6,IF(data_CLEAN!F21&lt;=SCORE_METHOD!$E$8,SCORE_METHOD!$N$7,SCORE_METHOD!$N$8))</f>
        <v>1</v>
      </c>
      <c r="G21">
        <f>IF(data_CLEAN!G21&lt;=SCORE_METHOD!$F$7,SCORE_METHOD!$N$6,IF(data_CLEAN!G21&lt;=SCORE_METHOD!$F$8,SCORE_METHOD!$N$7,SCORE_METHOD!$N$8))</f>
        <v>1</v>
      </c>
      <c r="H21">
        <f>VLOOKUP(data_CLEAN!H21,SCORE_METHOD!$A$13:$B$15,2,FALSE)</f>
        <v>1</v>
      </c>
      <c r="I21">
        <f>VLOOKUP(data_CLEAN!I21,SCORE_METHOD!$A$13:$C$15,3,FALSE)</f>
        <v>1</v>
      </c>
      <c r="J21">
        <f>VLOOKUP(data_CLEAN!J21,SCORE_METHOD!$A$13:$D$15,4,FALSE)</f>
        <v>1</v>
      </c>
      <c r="K21">
        <f>VLOOKUP(data_CLEAN!K21,SCORE_METHOD!$A$13:$E$15,5,FALSE)</f>
        <v>1</v>
      </c>
      <c r="L21">
        <f>VLOOKUP(data_CLEAN!L21,SCORE_METHOD!$A$19:$B$21,2,FALSE)</f>
        <v>1</v>
      </c>
      <c r="M21">
        <f>IF(data_CLEAN!M21&lt;=SCORE_METHOD!$G$7,SCORE_METHOD!$N$6,IF(data_CLEAN!M21&lt;=SCORE_METHOD!$G$8,SCORE_METHOD!$N$7,SCORE_METHOD!$N$8))</f>
        <v>1</v>
      </c>
      <c r="N21">
        <f>IF(data_CLEAN!N21&lt;=SCORE_METHOD!$H$7,SCORE_METHOD!$N$6,IF(data_CLEAN!N21&lt;=SCORE_METHOD!$H$8,SCORE_METHOD!$N$7,SCORE_METHOD!$N$8))</f>
        <v>2</v>
      </c>
      <c r="O21">
        <f>VLOOKUP(data_CLEAN!O21,SCORE_METHOD!$A$25:$C$26,3,FALSE)</f>
        <v>1</v>
      </c>
      <c r="P21">
        <f>IF(data_CLEAN!P21&lt;=SCORE_METHOD!$I$7,SCORE_METHOD!$N$6,IF(data_CLEAN!P21&lt;=SCORE_METHOD!$I$8,SCORE_METHOD!$N$7,SCORE_METHOD!$N$8))</f>
        <v>1</v>
      </c>
      <c r="Q21">
        <f>IF(data_CLEAN!Q21&lt;=SCORE_METHOD!$B$31,SCORE_METHOD!$C$30,IF(data_CLEAN!Q21&lt;=SCORE_METHOD!$B$32,SCORE_METHOD!$C$31,SCORE_METHOD!$C$32))</f>
        <v>2</v>
      </c>
      <c r="R21">
        <f>IF(data_CLEAN!R21&lt;=SCORE_METHOD!$J$7,SCORE_METHOD!$N$6,IF(data_CLEAN!S21&lt;=SCORE_METHOD!$J$8,SCORE_METHOD!$N$7,SCORE_METHOD!$N$8))</f>
        <v>1</v>
      </c>
      <c r="S21">
        <f>IF(data_CLEAN!S21&lt;=SCORE_METHOD!$D$31,SCORE_METHOD!$E$30,IF(data_CLEAN!S21&lt;=SCORE_METHOD!$D$32,SCORE_METHOD!$E$31,SCORE_METHOD!$E$32))</f>
        <v>2</v>
      </c>
      <c r="T21">
        <f>VLOOKUP(data_CLEAN!T21,SCORE_METHOD!$A$25:$E$26,5,FALSE)</f>
        <v>0</v>
      </c>
      <c r="U21">
        <f>IF(data_CLEAN!U21=1,SCORE_METHOD!$B$37,SCORE_METHOD!$B$38)</f>
        <v>1</v>
      </c>
      <c r="V21">
        <f>IF(data_CLEAN!V21&lt;=SCORE_METHOD!$K$7,SCORE_METHOD!$N$6,IF(data_CLEAN!V21&lt;=SCORE_METHOD!$K$8,SCORE_METHOD!$N$7,SCORE_METHOD!$N$8))</f>
        <v>3</v>
      </c>
      <c r="W21">
        <f>IF(data_CLEAN!W21&lt;=SCORE_METHOD!$L$7,SCORE_METHOD!$N$6,IF(data_CLEAN!W21&lt;=SCORE_METHOD!$L$8,SCORE_METHOD!$N$7,SCORE_METHOD!$N$8))</f>
        <v>3</v>
      </c>
      <c r="X21">
        <f>IF(data_CLEAN!X21&lt;=SCORE_METHOD!$M$7,SCORE_METHOD!$N$6,IF(data_CLEAN!X21&lt;=SCORE_METHOD!$M$8,SCORE_METHOD!$N$7,SCORE_METHOD!$N$8))</f>
        <v>2</v>
      </c>
      <c r="Y21">
        <f>VLOOKUP(data_CLEAN!Y21,SCORE_METHOD!$A$13:$F$15,6,FALSE)</f>
        <v>1</v>
      </c>
      <c r="Z21">
        <f>SUM(C21:L21)*SCORE_METHOD!$E$53</f>
        <v>1.4000000000000001</v>
      </c>
      <c r="AA21">
        <f>SUM(M21:N21)*SCORE_METHOD!$E$63</f>
        <v>1.5</v>
      </c>
      <c r="AB21">
        <f>SUM(O21:U21)*SCORE_METHOD!$E$65</f>
        <v>1.1428571428571428</v>
      </c>
      <c r="AC21">
        <f>SUM(V21:Y21)*SCORE_METHOD!$E$72</f>
        <v>2.25</v>
      </c>
      <c r="AD21">
        <f>Z21*SCORE_METHOD!$C$44+data_SCORING!AA21*SCORE_METHOD!$C$45+data_SCORING!AB21*SCORE_METHOD!$C$46+data_SCORING!AC21*SCORE_METHOD!$C$47</f>
        <v>1.5732142857142857</v>
      </c>
    </row>
    <row r="22" spans="1:30" x14ac:dyDescent="0.25">
      <c r="A22" t="s">
        <v>50</v>
      </c>
      <c r="B22">
        <v>90.816483914100004</v>
      </c>
      <c r="C22">
        <f>IF(data_CLEAN!C22&lt;=SCORE_METHOD!$B$7,SCORE_METHOD!$N$6,IF(data_CLEAN!C22&lt;=SCORE_METHOD!$B$8,SCORE_METHOD!$N$7,SCORE_METHOD!$N$8))</f>
        <v>1</v>
      </c>
      <c r="D22">
        <f>IF(data_CLEAN!D22&lt;=SCORE_METHOD!$C$7,SCORE_METHOD!$N$6,IF(data_CLEAN!D22&lt;=SCORE_METHOD!$C$8,SCORE_METHOD!$N$7,SCORE_METHOD!$N$8))</f>
        <v>2</v>
      </c>
      <c r="E22">
        <f>IF(data_CLEAN!E22&lt;=SCORE_METHOD!$D$7,SCORE_METHOD!$N$6,IF(data_CLEAN!E22&lt;=SCORE_METHOD!$D$8,SCORE_METHOD!$N$7,SCORE_METHOD!$N$8))</f>
        <v>3</v>
      </c>
      <c r="F22">
        <f>IF(data_CLEAN!F22&lt;=SCORE_METHOD!$E$7,SCORE_METHOD!$N$6,IF(data_CLEAN!F22&lt;=SCORE_METHOD!$E$8,SCORE_METHOD!$N$7,SCORE_METHOD!$N$8))</f>
        <v>1</v>
      </c>
      <c r="G22">
        <f>IF(data_CLEAN!G22&lt;=SCORE_METHOD!$F$7,SCORE_METHOD!$N$6,IF(data_CLEAN!G22&lt;=SCORE_METHOD!$F$8,SCORE_METHOD!$N$7,SCORE_METHOD!$N$8))</f>
        <v>2</v>
      </c>
      <c r="H22">
        <f>VLOOKUP(data_CLEAN!H22,SCORE_METHOD!$A$13:$B$15,2,FALSE)</f>
        <v>1</v>
      </c>
      <c r="I22">
        <f>VLOOKUP(data_CLEAN!I22,SCORE_METHOD!$A$13:$C$15,3,FALSE)</f>
        <v>3</v>
      </c>
      <c r="J22">
        <f>VLOOKUP(data_CLEAN!J22,SCORE_METHOD!$A$13:$D$15,4,FALSE)</f>
        <v>3</v>
      </c>
      <c r="K22">
        <f>VLOOKUP(data_CLEAN!K22,SCORE_METHOD!$A$13:$E$15,5,FALSE)</f>
        <v>3</v>
      </c>
      <c r="L22">
        <f>VLOOKUP(data_CLEAN!L22,SCORE_METHOD!$A$19:$B$21,2,FALSE)</f>
        <v>1</v>
      </c>
      <c r="M22">
        <f>IF(data_CLEAN!M22&lt;=SCORE_METHOD!$G$7,SCORE_METHOD!$N$6,IF(data_CLEAN!M22&lt;=SCORE_METHOD!$G$8,SCORE_METHOD!$N$7,SCORE_METHOD!$N$8))</f>
        <v>2</v>
      </c>
      <c r="N22">
        <f>IF(data_CLEAN!N22&lt;=SCORE_METHOD!$H$7,SCORE_METHOD!$N$6,IF(data_CLEAN!N22&lt;=SCORE_METHOD!$H$8,SCORE_METHOD!$N$7,SCORE_METHOD!$N$8))</f>
        <v>1</v>
      </c>
      <c r="O22">
        <f>VLOOKUP(data_CLEAN!O22,SCORE_METHOD!$A$25:$C$26,3,FALSE)</f>
        <v>1</v>
      </c>
      <c r="P22">
        <f>IF(data_CLEAN!P22&lt;=SCORE_METHOD!$I$7,SCORE_METHOD!$N$6,IF(data_CLEAN!P22&lt;=SCORE_METHOD!$I$8,SCORE_METHOD!$N$7,SCORE_METHOD!$N$8))</f>
        <v>2</v>
      </c>
      <c r="Q22">
        <f>IF(data_CLEAN!Q22&lt;=SCORE_METHOD!$B$31,SCORE_METHOD!$C$30,IF(data_CLEAN!Q22&lt;=SCORE_METHOD!$B$32,SCORE_METHOD!$C$31,SCORE_METHOD!$C$32))</f>
        <v>2</v>
      </c>
      <c r="R22">
        <f>IF(data_CLEAN!R22&lt;=SCORE_METHOD!$J$7,SCORE_METHOD!$N$6,IF(data_CLEAN!S22&lt;=SCORE_METHOD!$J$8,SCORE_METHOD!$N$7,SCORE_METHOD!$N$8))</f>
        <v>2</v>
      </c>
      <c r="S22">
        <f>IF(data_CLEAN!S22&lt;=SCORE_METHOD!$D$31,SCORE_METHOD!$E$30,IF(data_CLEAN!S22&lt;=SCORE_METHOD!$D$32,SCORE_METHOD!$E$31,SCORE_METHOD!$E$32))</f>
        <v>1</v>
      </c>
      <c r="T22">
        <f>VLOOKUP(data_CLEAN!T22,SCORE_METHOD!$A$25:$E$26,5,FALSE)</f>
        <v>0</v>
      </c>
      <c r="U22">
        <f>IF(data_CLEAN!U22=1,SCORE_METHOD!$B$37,SCORE_METHOD!$B$38)</f>
        <v>1</v>
      </c>
      <c r="V22">
        <f>IF(data_CLEAN!V22&lt;=SCORE_METHOD!$K$7,SCORE_METHOD!$N$6,IF(data_CLEAN!V22&lt;=SCORE_METHOD!$K$8,SCORE_METHOD!$N$7,SCORE_METHOD!$N$8))</f>
        <v>1</v>
      </c>
      <c r="W22">
        <f>IF(data_CLEAN!W22&lt;=SCORE_METHOD!$L$7,SCORE_METHOD!$N$6,IF(data_CLEAN!W22&lt;=SCORE_METHOD!$L$8,SCORE_METHOD!$N$7,SCORE_METHOD!$N$8))</f>
        <v>3</v>
      </c>
      <c r="X22">
        <f>IF(data_CLEAN!X22&lt;=SCORE_METHOD!$M$7,SCORE_METHOD!$N$6,IF(data_CLEAN!X22&lt;=SCORE_METHOD!$M$8,SCORE_METHOD!$N$7,SCORE_METHOD!$N$8))</f>
        <v>3</v>
      </c>
      <c r="Y22">
        <f>VLOOKUP(data_CLEAN!Y22,SCORE_METHOD!$A$13:$F$15,6,FALSE)</f>
        <v>3</v>
      </c>
      <c r="Z22">
        <f>SUM(C22:L22)*SCORE_METHOD!$E$53</f>
        <v>2</v>
      </c>
      <c r="AA22">
        <f>SUM(M22:N22)*SCORE_METHOD!$E$63</f>
        <v>1.5</v>
      </c>
      <c r="AB22">
        <f>SUM(O22:U22)*SCORE_METHOD!$E$65</f>
        <v>1.2857142857142856</v>
      </c>
      <c r="AC22">
        <f>SUM(V22:Y22)*SCORE_METHOD!$E$72</f>
        <v>2.5</v>
      </c>
      <c r="AD22">
        <f>Z22*SCORE_METHOD!$C$44+data_SCORING!AA22*SCORE_METHOD!$C$45+data_SCORING!AB22*SCORE_METHOD!$C$46+data_SCORING!AC22*SCORE_METHOD!$C$47</f>
        <v>1.8214285714285714</v>
      </c>
    </row>
    <row r="23" spans="1:30" x14ac:dyDescent="0.25">
      <c r="A23" t="s">
        <v>51</v>
      </c>
      <c r="B23">
        <v>35.996736132800002</v>
      </c>
      <c r="C23">
        <f>IF(data_CLEAN!C23&lt;=SCORE_METHOD!$B$7,SCORE_METHOD!$N$6,IF(data_CLEAN!C23&lt;=SCORE_METHOD!$B$8,SCORE_METHOD!$N$7,SCORE_METHOD!$N$8))</f>
        <v>2</v>
      </c>
      <c r="D23">
        <f>IF(data_CLEAN!D23&lt;=SCORE_METHOD!$C$7,SCORE_METHOD!$N$6,IF(data_CLEAN!D23&lt;=SCORE_METHOD!$C$8,SCORE_METHOD!$N$7,SCORE_METHOD!$N$8))</f>
        <v>2</v>
      </c>
      <c r="E23">
        <f>IF(data_CLEAN!E23&lt;=SCORE_METHOD!$D$7,SCORE_METHOD!$N$6,IF(data_CLEAN!E23&lt;=SCORE_METHOD!$D$8,SCORE_METHOD!$N$7,SCORE_METHOD!$N$8))</f>
        <v>2</v>
      </c>
      <c r="F23">
        <f>IF(data_CLEAN!F23&lt;=SCORE_METHOD!$E$7,SCORE_METHOD!$N$6,IF(data_CLEAN!F23&lt;=SCORE_METHOD!$E$8,SCORE_METHOD!$N$7,SCORE_METHOD!$N$8))</f>
        <v>1</v>
      </c>
      <c r="G23">
        <f>IF(data_CLEAN!G23&lt;=SCORE_METHOD!$F$7,SCORE_METHOD!$N$6,IF(data_CLEAN!G23&lt;=SCORE_METHOD!$F$8,SCORE_METHOD!$N$7,SCORE_METHOD!$N$8))</f>
        <v>2</v>
      </c>
      <c r="H23">
        <f>VLOOKUP(data_CLEAN!H23,SCORE_METHOD!$A$13:$B$15,2,FALSE)</f>
        <v>1</v>
      </c>
      <c r="I23">
        <f>VLOOKUP(data_CLEAN!I23,SCORE_METHOD!$A$13:$C$15,3,FALSE)</f>
        <v>3</v>
      </c>
      <c r="J23">
        <f>VLOOKUP(data_CLEAN!J23,SCORE_METHOD!$A$13:$D$15,4,FALSE)</f>
        <v>1</v>
      </c>
      <c r="K23">
        <f>VLOOKUP(data_CLEAN!K23,SCORE_METHOD!$A$13:$E$15,5,FALSE)</f>
        <v>3</v>
      </c>
      <c r="L23">
        <f>VLOOKUP(data_CLEAN!L23,SCORE_METHOD!$A$19:$B$21,2,FALSE)</f>
        <v>1</v>
      </c>
      <c r="M23">
        <f>IF(data_CLEAN!M23&lt;=SCORE_METHOD!$G$7,SCORE_METHOD!$N$6,IF(data_CLEAN!M23&lt;=SCORE_METHOD!$G$8,SCORE_METHOD!$N$7,SCORE_METHOD!$N$8))</f>
        <v>2</v>
      </c>
      <c r="N23">
        <f>IF(data_CLEAN!N23&lt;=SCORE_METHOD!$H$7,SCORE_METHOD!$N$6,IF(data_CLEAN!N23&lt;=SCORE_METHOD!$H$8,SCORE_METHOD!$N$7,SCORE_METHOD!$N$8))</f>
        <v>3</v>
      </c>
      <c r="O23">
        <f>VLOOKUP(data_CLEAN!O23,SCORE_METHOD!$A$25:$C$26,3,FALSE)</f>
        <v>0</v>
      </c>
      <c r="P23">
        <f>IF(data_CLEAN!P23&lt;=SCORE_METHOD!$I$7,SCORE_METHOD!$N$6,IF(data_CLEAN!P23&lt;=SCORE_METHOD!$I$8,SCORE_METHOD!$N$7,SCORE_METHOD!$N$8))</f>
        <v>1</v>
      </c>
      <c r="Q23">
        <f>IF(data_CLEAN!Q23&lt;=SCORE_METHOD!$B$31,SCORE_METHOD!$C$30,IF(data_CLEAN!Q23&lt;=SCORE_METHOD!$B$32,SCORE_METHOD!$C$31,SCORE_METHOD!$C$32))</f>
        <v>3</v>
      </c>
      <c r="R23">
        <f>IF(data_CLEAN!R23&lt;=SCORE_METHOD!$J$7,SCORE_METHOD!$N$6,IF(data_CLEAN!S23&lt;=SCORE_METHOD!$J$8,SCORE_METHOD!$N$7,SCORE_METHOD!$N$8))</f>
        <v>2</v>
      </c>
      <c r="S23">
        <f>IF(data_CLEAN!S23&lt;=SCORE_METHOD!$D$31,SCORE_METHOD!$E$30,IF(data_CLEAN!S23&lt;=SCORE_METHOD!$D$32,SCORE_METHOD!$E$31,SCORE_METHOD!$E$32))</f>
        <v>3</v>
      </c>
      <c r="T23">
        <f>VLOOKUP(data_CLEAN!T23,SCORE_METHOD!$A$25:$E$26,5,FALSE)</f>
        <v>0</v>
      </c>
      <c r="U23">
        <f>IF(data_CLEAN!U23=1,SCORE_METHOD!$B$37,SCORE_METHOD!$B$38)</f>
        <v>1</v>
      </c>
      <c r="V23">
        <f>IF(data_CLEAN!V23&lt;=SCORE_METHOD!$K$7,SCORE_METHOD!$N$6,IF(data_CLEAN!V23&lt;=SCORE_METHOD!$K$8,SCORE_METHOD!$N$7,SCORE_METHOD!$N$8))</f>
        <v>2</v>
      </c>
      <c r="W23">
        <f>IF(data_CLEAN!W23&lt;=SCORE_METHOD!$L$7,SCORE_METHOD!$N$6,IF(data_CLEAN!W23&lt;=SCORE_METHOD!$L$8,SCORE_METHOD!$N$7,SCORE_METHOD!$N$8))</f>
        <v>3</v>
      </c>
      <c r="X23">
        <f>IF(data_CLEAN!X23&lt;=SCORE_METHOD!$M$7,SCORE_METHOD!$N$6,IF(data_CLEAN!X23&lt;=SCORE_METHOD!$M$8,SCORE_METHOD!$N$7,SCORE_METHOD!$N$8))</f>
        <v>1</v>
      </c>
      <c r="Y23">
        <f>VLOOKUP(data_CLEAN!Y23,SCORE_METHOD!$A$13:$F$15,6,FALSE)</f>
        <v>1</v>
      </c>
      <c r="Z23">
        <f>SUM(C23:L23)*SCORE_METHOD!$E$53</f>
        <v>1.8</v>
      </c>
      <c r="AA23">
        <f>SUM(M23:N23)*SCORE_METHOD!$E$63</f>
        <v>2.5</v>
      </c>
      <c r="AB23">
        <f>SUM(O23:U23)*SCORE_METHOD!$E$65</f>
        <v>1.4285714285714284</v>
      </c>
      <c r="AC23">
        <f>SUM(V23:Y23)*SCORE_METHOD!$E$72</f>
        <v>1.75</v>
      </c>
      <c r="AD23">
        <f>Z23*SCORE_METHOD!$C$44+data_SCORING!AA23*SCORE_METHOD!$C$45+data_SCORING!AB23*SCORE_METHOD!$C$46+data_SCORING!AC23*SCORE_METHOD!$C$47</f>
        <v>1.8696428571428569</v>
      </c>
    </row>
    <row r="24" spans="1:30" x14ac:dyDescent="0.25">
      <c r="A24" t="s">
        <v>52</v>
      </c>
      <c r="B24">
        <v>56.3240863179999</v>
      </c>
      <c r="C24">
        <f>IF(data_CLEAN!C24&lt;=SCORE_METHOD!$B$7,SCORE_METHOD!$N$6,IF(data_CLEAN!C24&lt;=SCORE_METHOD!$B$8,SCORE_METHOD!$N$7,SCORE_METHOD!$N$8))</f>
        <v>1</v>
      </c>
      <c r="D24">
        <f>IF(data_CLEAN!D24&lt;=SCORE_METHOD!$C$7,SCORE_METHOD!$N$6,IF(data_CLEAN!D24&lt;=SCORE_METHOD!$C$8,SCORE_METHOD!$N$7,SCORE_METHOD!$N$8))</f>
        <v>1</v>
      </c>
      <c r="E24">
        <f>IF(data_CLEAN!E24&lt;=SCORE_METHOD!$D$7,SCORE_METHOD!$N$6,IF(data_CLEAN!E24&lt;=SCORE_METHOD!$D$8,SCORE_METHOD!$N$7,SCORE_METHOD!$N$8))</f>
        <v>1</v>
      </c>
      <c r="F24">
        <f>IF(data_CLEAN!F24&lt;=SCORE_METHOD!$E$7,SCORE_METHOD!$N$6,IF(data_CLEAN!F24&lt;=SCORE_METHOD!$E$8,SCORE_METHOD!$N$7,SCORE_METHOD!$N$8))</f>
        <v>1</v>
      </c>
      <c r="G24">
        <f>IF(data_CLEAN!G24&lt;=SCORE_METHOD!$F$7,SCORE_METHOD!$N$6,IF(data_CLEAN!G24&lt;=SCORE_METHOD!$F$8,SCORE_METHOD!$N$7,SCORE_METHOD!$N$8))</f>
        <v>1</v>
      </c>
      <c r="H24">
        <f>VLOOKUP(data_CLEAN!H24,SCORE_METHOD!$A$13:$B$15,2,FALSE)</f>
        <v>1</v>
      </c>
      <c r="I24">
        <f>VLOOKUP(data_CLEAN!I24,SCORE_METHOD!$A$13:$C$15,3,FALSE)</f>
        <v>1</v>
      </c>
      <c r="J24">
        <f>VLOOKUP(data_CLEAN!J24,SCORE_METHOD!$A$13:$D$15,4,FALSE)</f>
        <v>1</v>
      </c>
      <c r="K24">
        <f>VLOOKUP(data_CLEAN!K24,SCORE_METHOD!$A$13:$E$15,5,FALSE)</f>
        <v>1</v>
      </c>
      <c r="L24">
        <f>VLOOKUP(data_CLEAN!L24,SCORE_METHOD!$A$19:$B$21,2,FALSE)</f>
        <v>1</v>
      </c>
      <c r="M24">
        <f>IF(data_CLEAN!M24&lt;=SCORE_METHOD!$G$7,SCORE_METHOD!$N$6,IF(data_CLEAN!M24&lt;=SCORE_METHOD!$G$8,SCORE_METHOD!$N$7,SCORE_METHOD!$N$8))</f>
        <v>3</v>
      </c>
      <c r="N24">
        <f>IF(data_CLEAN!N24&lt;=SCORE_METHOD!$H$7,SCORE_METHOD!$N$6,IF(data_CLEAN!N24&lt;=SCORE_METHOD!$H$8,SCORE_METHOD!$N$7,SCORE_METHOD!$N$8))</f>
        <v>3</v>
      </c>
      <c r="O24">
        <f>VLOOKUP(data_CLEAN!O24,SCORE_METHOD!$A$25:$C$26,3,FALSE)</f>
        <v>0</v>
      </c>
      <c r="P24">
        <f>IF(data_CLEAN!P24&lt;=SCORE_METHOD!$I$7,SCORE_METHOD!$N$6,IF(data_CLEAN!P24&lt;=SCORE_METHOD!$I$8,SCORE_METHOD!$N$7,SCORE_METHOD!$N$8))</f>
        <v>3</v>
      </c>
      <c r="Q24">
        <f>IF(data_CLEAN!Q24&lt;=SCORE_METHOD!$B$31,SCORE_METHOD!$C$30,IF(data_CLEAN!Q24&lt;=SCORE_METHOD!$B$32,SCORE_METHOD!$C$31,SCORE_METHOD!$C$32))</f>
        <v>3</v>
      </c>
      <c r="R24">
        <f>IF(data_CLEAN!R24&lt;=SCORE_METHOD!$J$7,SCORE_METHOD!$N$6,IF(data_CLEAN!S24&lt;=SCORE_METHOD!$J$8,SCORE_METHOD!$N$7,SCORE_METHOD!$N$8))</f>
        <v>2</v>
      </c>
      <c r="S24">
        <f>IF(data_CLEAN!S24&lt;=SCORE_METHOD!$D$31,SCORE_METHOD!$E$30,IF(data_CLEAN!S24&lt;=SCORE_METHOD!$D$32,SCORE_METHOD!$E$31,SCORE_METHOD!$E$32))</f>
        <v>3</v>
      </c>
      <c r="T24">
        <f>VLOOKUP(data_CLEAN!T24,SCORE_METHOD!$A$25:$E$26,5,FALSE)</f>
        <v>0</v>
      </c>
      <c r="U24">
        <f>IF(data_CLEAN!U24=1,SCORE_METHOD!$B$37,SCORE_METHOD!$B$38)</f>
        <v>1</v>
      </c>
      <c r="V24">
        <f>IF(data_CLEAN!V24&lt;=SCORE_METHOD!$K$7,SCORE_METHOD!$N$6,IF(data_CLEAN!V24&lt;=SCORE_METHOD!$K$8,SCORE_METHOD!$N$7,SCORE_METHOD!$N$8))</f>
        <v>2</v>
      </c>
      <c r="W24">
        <f>IF(data_CLEAN!W24&lt;=SCORE_METHOD!$L$7,SCORE_METHOD!$N$6,IF(data_CLEAN!W24&lt;=SCORE_METHOD!$L$8,SCORE_METHOD!$N$7,SCORE_METHOD!$N$8))</f>
        <v>1</v>
      </c>
      <c r="X24">
        <f>IF(data_CLEAN!X24&lt;=SCORE_METHOD!$M$7,SCORE_METHOD!$N$6,IF(data_CLEAN!X24&lt;=SCORE_METHOD!$M$8,SCORE_METHOD!$N$7,SCORE_METHOD!$N$8))</f>
        <v>3</v>
      </c>
      <c r="Y24">
        <f>VLOOKUP(data_CLEAN!Y24,SCORE_METHOD!$A$13:$F$15,6,FALSE)</f>
        <v>1</v>
      </c>
      <c r="Z24">
        <f>SUM(C24:L24)*SCORE_METHOD!$E$53</f>
        <v>1</v>
      </c>
      <c r="AA24">
        <f>SUM(M24:N24)*SCORE_METHOD!$E$63</f>
        <v>3</v>
      </c>
      <c r="AB24">
        <f>SUM(O24:U24)*SCORE_METHOD!$E$65</f>
        <v>1.7142857142857142</v>
      </c>
      <c r="AC24">
        <f>SUM(V24:Y24)*SCORE_METHOD!$E$72</f>
        <v>1.75</v>
      </c>
      <c r="AD24">
        <f>Z24*SCORE_METHOD!$C$44+data_SCORING!AA24*SCORE_METHOD!$C$45+data_SCORING!AB24*SCORE_METHOD!$C$46+data_SCORING!AC24*SCORE_METHOD!$C$47</f>
        <v>1.8660714285714286</v>
      </c>
    </row>
    <row r="25" spans="1:30" x14ac:dyDescent="0.25">
      <c r="A25" t="s">
        <v>53</v>
      </c>
      <c r="B25">
        <v>43.110311660000001</v>
      </c>
      <c r="C25">
        <f>IF(data_CLEAN!C25&lt;=SCORE_METHOD!$B$7,SCORE_METHOD!$N$6,IF(data_CLEAN!C25&lt;=SCORE_METHOD!$B$8,SCORE_METHOD!$N$7,SCORE_METHOD!$N$8))</f>
        <v>3</v>
      </c>
      <c r="D25">
        <f>IF(data_CLEAN!D25&lt;=SCORE_METHOD!$C$7,SCORE_METHOD!$N$6,IF(data_CLEAN!D25&lt;=SCORE_METHOD!$C$8,SCORE_METHOD!$N$7,SCORE_METHOD!$N$8))</f>
        <v>3</v>
      </c>
      <c r="E25">
        <f>IF(data_CLEAN!E25&lt;=SCORE_METHOD!$D$7,SCORE_METHOD!$N$6,IF(data_CLEAN!E25&lt;=SCORE_METHOD!$D$8,SCORE_METHOD!$N$7,SCORE_METHOD!$N$8))</f>
        <v>3</v>
      </c>
      <c r="F25">
        <f>IF(data_CLEAN!F25&lt;=SCORE_METHOD!$E$7,SCORE_METHOD!$N$6,IF(data_CLEAN!F25&lt;=SCORE_METHOD!$E$8,SCORE_METHOD!$N$7,SCORE_METHOD!$N$8))</f>
        <v>3</v>
      </c>
      <c r="G25">
        <f>IF(data_CLEAN!G25&lt;=SCORE_METHOD!$F$7,SCORE_METHOD!$N$6,IF(data_CLEAN!G25&lt;=SCORE_METHOD!$F$8,SCORE_METHOD!$N$7,SCORE_METHOD!$N$8))</f>
        <v>3</v>
      </c>
      <c r="H25">
        <f>VLOOKUP(data_CLEAN!H25,SCORE_METHOD!$A$13:$B$15,2,FALSE)</f>
        <v>1</v>
      </c>
      <c r="I25">
        <f>VLOOKUP(data_CLEAN!I25,SCORE_METHOD!$A$13:$C$15,3,FALSE)</f>
        <v>3</v>
      </c>
      <c r="J25">
        <f>VLOOKUP(data_CLEAN!J25,SCORE_METHOD!$A$13:$D$15,4,FALSE)</f>
        <v>1</v>
      </c>
      <c r="K25">
        <f>VLOOKUP(data_CLEAN!K25,SCORE_METHOD!$A$13:$E$15,5,FALSE)</f>
        <v>3</v>
      </c>
      <c r="L25">
        <f>VLOOKUP(data_CLEAN!L25,SCORE_METHOD!$A$19:$B$21,2,FALSE)</f>
        <v>1</v>
      </c>
      <c r="M25">
        <f>IF(data_CLEAN!M25&lt;=SCORE_METHOD!$G$7,SCORE_METHOD!$N$6,IF(data_CLEAN!M25&lt;=SCORE_METHOD!$G$8,SCORE_METHOD!$N$7,SCORE_METHOD!$N$8))</f>
        <v>3</v>
      </c>
      <c r="N25">
        <f>IF(data_CLEAN!N25&lt;=SCORE_METHOD!$H$7,SCORE_METHOD!$N$6,IF(data_CLEAN!N25&lt;=SCORE_METHOD!$H$8,SCORE_METHOD!$N$7,SCORE_METHOD!$N$8))</f>
        <v>3</v>
      </c>
      <c r="O25">
        <f>VLOOKUP(data_CLEAN!O25,SCORE_METHOD!$A$25:$C$26,3,FALSE)</f>
        <v>0</v>
      </c>
      <c r="P25">
        <f>IF(data_CLEAN!P25&lt;=SCORE_METHOD!$I$7,SCORE_METHOD!$N$6,IF(data_CLEAN!P25&lt;=SCORE_METHOD!$I$8,SCORE_METHOD!$N$7,SCORE_METHOD!$N$8))</f>
        <v>1</v>
      </c>
      <c r="Q25">
        <f>IF(data_CLEAN!Q25&lt;=SCORE_METHOD!$B$31,SCORE_METHOD!$C$30,IF(data_CLEAN!Q25&lt;=SCORE_METHOD!$B$32,SCORE_METHOD!$C$31,SCORE_METHOD!$C$32))</f>
        <v>1</v>
      </c>
      <c r="R25">
        <f>IF(data_CLEAN!R25&lt;=SCORE_METHOD!$J$7,SCORE_METHOD!$N$6,IF(data_CLEAN!S25&lt;=SCORE_METHOD!$J$8,SCORE_METHOD!$N$7,SCORE_METHOD!$N$8))</f>
        <v>2</v>
      </c>
      <c r="S25">
        <f>IF(data_CLEAN!S25&lt;=SCORE_METHOD!$D$31,SCORE_METHOD!$E$30,IF(data_CLEAN!S25&lt;=SCORE_METHOD!$D$32,SCORE_METHOD!$E$31,SCORE_METHOD!$E$32))</f>
        <v>2</v>
      </c>
      <c r="T25">
        <f>VLOOKUP(data_CLEAN!T25,SCORE_METHOD!$A$25:$E$26,5,FALSE)</f>
        <v>0</v>
      </c>
      <c r="U25">
        <f>IF(data_CLEAN!U25=1,SCORE_METHOD!$B$37,SCORE_METHOD!$B$38)</f>
        <v>1</v>
      </c>
      <c r="V25">
        <f>IF(data_CLEAN!V25&lt;=SCORE_METHOD!$K$7,SCORE_METHOD!$N$6,IF(data_CLEAN!V25&lt;=SCORE_METHOD!$K$8,SCORE_METHOD!$N$7,SCORE_METHOD!$N$8))</f>
        <v>2</v>
      </c>
      <c r="W25">
        <f>IF(data_CLEAN!W25&lt;=SCORE_METHOD!$L$7,SCORE_METHOD!$N$6,IF(data_CLEAN!W25&lt;=SCORE_METHOD!$L$8,SCORE_METHOD!$N$7,SCORE_METHOD!$N$8))</f>
        <v>2</v>
      </c>
      <c r="X25">
        <f>IF(data_CLEAN!X25&lt;=SCORE_METHOD!$M$7,SCORE_METHOD!$N$6,IF(data_CLEAN!X25&lt;=SCORE_METHOD!$M$8,SCORE_METHOD!$N$7,SCORE_METHOD!$N$8))</f>
        <v>3</v>
      </c>
      <c r="Y25">
        <f>VLOOKUP(data_CLEAN!Y25,SCORE_METHOD!$A$13:$F$15,6,FALSE)</f>
        <v>2</v>
      </c>
      <c r="Z25">
        <f>SUM(C25:L25)*SCORE_METHOD!$E$53</f>
        <v>2.4000000000000004</v>
      </c>
      <c r="AA25">
        <f>SUM(M25:N25)*SCORE_METHOD!$E$63</f>
        <v>3</v>
      </c>
      <c r="AB25">
        <f>SUM(O25:U25)*SCORE_METHOD!$E$65</f>
        <v>1</v>
      </c>
      <c r="AC25">
        <f>SUM(V25:Y25)*SCORE_METHOD!$E$72</f>
        <v>2.25</v>
      </c>
      <c r="AD25">
        <f>Z25*SCORE_METHOD!$C$44+data_SCORING!AA25*SCORE_METHOD!$C$45+data_SCORING!AB25*SCORE_METHOD!$C$46+data_SCORING!AC25*SCORE_METHOD!$C$47</f>
        <v>2.1625000000000001</v>
      </c>
    </row>
    <row r="26" spans="1:30" x14ac:dyDescent="0.25">
      <c r="A26" t="s">
        <v>54</v>
      </c>
      <c r="B26">
        <v>41.542048884700002</v>
      </c>
      <c r="C26">
        <f>IF(data_CLEAN!C26&lt;=SCORE_METHOD!$B$7,SCORE_METHOD!$N$6,IF(data_CLEAN!C26&lt;=SCORE_METHOD!$B$8,SCORE_METHOD!$N$7,SCORE_METHOD!$N$8))</f>
        <v>2</v>
      </c>
      <c r="D26">
        <f>IF(data_CLEAN!D26&lt;=SCORE_METHOD!$C$7,SCORE_METHOD!$N$6,IF(data_CLEAN!D26&lt;=SCORE_METHOD!$C$8,SCORE_METHOD!$N$7,SCORE_METHOD!$N$8))</f>
        <v>2</v>
      </c>
      <c r="E26">
        <f>IF(data_CLEAN!E26&lt;=SCORE_METHOD!$D$7,SCORE_METHOD!$N$6,IF(data_CLEAN!E26&lt;=SCORE_METHOD!$D$8,SCORE_METHOD!$N$7,SCORE_METHOD!$N$8))</f>
        <v>1</v>
      </c>
      <c r="F26">
        <f>IF(data_CLEAN!F26&lt;=SCORE_METHOD!$E$7,SCORE_METHOD!$N$6,IF(data_CLEAN!F26&lt;=SCORE_METHOD!$E$8,SCORE_METHOD!$N$7,SCORE_METHOD!$N$8))</f>
        <v>1</v>
      </c>
      <c r="G26">
        <f>IF(data_CLEAN!G26&lt;=SCORE_METHOD!$F$7,SCORE_METHOD!$N$6,IF(data_CLEAN!G26&lt;=SCORE_METHOD!$F$8,SCORE_METHOD!$N$7,SCORE_METHOD!$N$8))</f>
        <v>1</v>
      </c>
      <c r="H26">
        <f>VLOOKUP(data_CLEAN!H26,SCORE_METHOD!$A$13:$B$15,2,FALSE)</f>
        <v>3</v>
      </c>
      <c r="I26">
        <f>VLOOKUP(data_CLEAN!I26,SCORE_METHOD!$A$13:$C$15,3,FALSE)</f>
        <v>1</v>
      </c>
      <c r="J26">
        <f>VLOOKUP(data_CLEAN!J26,SCORE_METHOD!$A$13:$D$15,4,FALSE)</f>
        <v>1</v>
      </c>
      <c r="K26">
        <f>VLOOKUP(data_CLEAN!K26,SCORE_METHOD!$A$13:$E$15,5,FALSE)</f>
        <v>1</v>
      </c>
      <c r="L26">
        <f>VLOOKUP(data_CLEAN!L26,SCORE_METHOD!$A$19:$B$21,2,FALSE)</f>
        <v>3</v>
      </c>
      <c r="M26">
        <f>IF(data_CLEAN!M26&lt;=SCORE_METHOD!$G$7,SCORE_METHOD!$N$6,IF(data_CLEAN!M26&lt;=SCORE_METHOD!$G$8,SCORE_METHOD!$N$7,SCORE_METHOD!$N$8))</f>
        <v>2</v>
      </c>
      <c r="N26">
        <f>IF(data_CLEAN!N26&lt;=SCORE_METHOD!$H$7,SCORE_METHOD!$N$6,IF(data_CLEAN!N26&lt;=SCORE_METHOD!$H$8,SCORE_METHOD!$N$7,SCORE_METHOD!$N$8))</f>
        <v>1</v>
      </c>
      <c r="O26">
        <f>VLOOKUP(data_CLEAN!O26,SCORE_METHOD!$A$25:$C$26,3,FALSE)</f>
        <v>1</v>
      </c>
      <c r="P26">
        <f>IF(data_CLEAN!P26&lt;=SCORE_METHOD!$I$7,SCORE_METHOD!$N$6,IF(data_CLEAN!P26&lt;=SCORE_METHOD!$I$8,SCORE_METHOD!$N$7,SCORE_METHOD!$N$8))</f>
        <v>2</v>
      </c>
      <c r="Q26">
        <f>IF(data_CLEAN!Q26&lt;=SCORE_METHOD!$B$31,SCORE_METHOD!$C$30,IF(data_CLEAN!Q26&lt;=SCORE_METHOD!$B$32,SCORE_METHOD!$C$31,SCORE_METHOD!$C$32))</f>
        <v>2</v>
      </c>
      <c r="R26">
        <f>IF(data_CLEAN!R26&lt;=SCORE_METHOD!$J$7,SCORE_METHOD!$N$6,IF(data_CLEAN!S26&lt;=SCORE_METHOD!$J$8,SCORE_METHOD!$N$7,SCORE_METHOD!$N$8))</f>
        <v>1</v>
      </c>
      <c r="S26">
        <f>IF(data_CLEAN!S26&lt;=SCORE_METHOD!$D$31,SCORE_METHOD!$E$30,IF(data_CLEAN!S26&lt;=SCORE_METHOD!$D$32,SCORE_METHOD!$E$31,SCORE_METHOD!$E$32))</f>
        <v>3</v>
      </c>
      <c r="T26">
        <f>VLOOKUP(data_CLEAN!T26,SCORE_METHOD!$A$25:$E$26,5,FALSE)</f>
        <v>0</v>
      </c>
      <c r="U26">
        <f>IF(data_CLEAN!U26=1,SCORE_METHOD!$B$37,SCORE_METHOD!$B$38)</f>
        <v>1</v>
      </c>
      <c r="V26">
        <f>IF(data_CLEAN!V26&lt;=SCORE_METHOD!$K$7,SCORE_METHOD!$N$6,IF(data_CLEAN!V26&lt;=SCORE_METHOD!$K$8,SCORE_METHOD!$N$7,SCORE_METHOD!$N$8))</f>
        <v>2</v>
      </c>
      <c r="W26">
        <f>IF(data_CLEAN!W26&lt;=SCORE_METHOD!$L$7,SCORE_METHOD!$N$6,IF(data_CLEAN!W26&lt;=SCORE_METHOD!$L$8,SCORE_METHOD!$N$7,SCORE_METHOD!$N$8))</f>
        <v>1</v>
      </c>
      <c r="X26">
        <f>IF(data_CLEAN!X26&lt;=SCORE_METHOD!$M$7,SCORE_METHOD!$N$6,IF(data_CLEAN!X26&lt;=SCORE_METHOD!$M$8,SCORE_METHOD!$N$7,SCORE_METHOD!$N$8))</f>
        <v>3</v>
      </c>
      <c r="Y26">
        <f>VLOOKUP(data_CLEAN!Y26,SCORE_METHOD!$A$13:$F$15,6,FALSE)</f>
        <v>2</v>
      </c>
      <c r="Z26">
        <f>SUM(C26:L26)*SCORE_METHOD!$E$53</f>
        <v>1.6</v>
      </c>
      <c r="AA26">
        <f>SUM(M26:N26)*SCORE_METHOD!$E$63</f>
        <v>1.5</v>
      </c>
      <c r="AB26">
        <f>SUM(O26:U26)*SCORE_METHOD!$E$65</f>
        <v>1.4285714285714284</v>
      </c>
      <c r="AC26">
        <f>SUM(V26:Y26)*SCORE_METHOD!$E$72</f>
        <v>2</v>
      </c>
      <c r="AD26">
        <f>Z26*SCORE_METHOD!$C$44+data_SCORING!AA26*SCORE_METHOD!$C$45+data_SCORING!AB26*SCORE_METHOD!$C$46+data_SCORING!AC26*SCORE_METHOD!$C$47</f>
        <v>1.6321428571428571</v>
      </c>
    </row>
    <row r="27" spans="1:30" x14ac:dyDescent="0.25">
      <c r="A27" t="s">
        <v>55</v>
      </c>
      <c r="B27">
        <v>76.8165697300999</v>
      </c>
      <c r="C27">
        <f>IF(data_CLEAN!C27&lt;=SCORE_METHOD!$B$7,SCORE_METHOD!$N$6,IF(data_CLEAN!C27&lt;=SCORE_METHOD!$B$8,SCORE_METHOD!$N$7,SCORE_METHOD!$N$8))</f>
        <v>3</v>
      </c>
      <c r="D27">
        <f>IF(data_CLEAN!D27&lt;=SCORE_METHOD!$C$7,SCORE_METHOD!$N$6,IF(data_CLEAN!D27&lt;=SCORE_METHOD!$C$8,SCORE_METHOD!$N$7,SCORE_METHOD!$N$8))</f>
        <v>3</v>
      </c>
      <c r="E27">
        <f>IF(data_CLEAN!E27&lt;=SCORE_METHOD!$D$7,SCORE_METHOD!$N$6,IF(data_CLEAN!E27&lt;=SCORE_METHOD!$D$8,SCORE_METHOD!$N$7,SCORE_METHOD!$N$8))</f>
        <v>1</v>
      </c>
      <c r="F27">
        <f>IF(data_CLEAN!F27&lt;=SCORE_METHOD!$E$7,SCORE_METHOD!$N$6,IF(data_CLEAN!F27&lt;=SCORE_METHOD!$E$8,SCORE_METHOD!$N$7,SCORE_METHOD!$N$8))</f>
        <v>1</v>
      </c>
      <c r="G27">
        <f>IF(data_CLEAN!G27&lt;=SCORE_METHOD!$F$7,SCORE_METHOD!$N$6,IF(data_CLEAN!G27&lt;=SCORE_METHOD!$F$8,SCORE_METHOD!$N$7,SCORE_METHOD!$N$8))</f>
        <v>1</v>
      </c>
      <c r="H27">
        <f>VLOOKUP(data_CLEAN!H27,SCORE_METHOD!$A$13:$B$15,2,FALSE)</f>
        <v>3</v>
      </c>
      <c r="I27">
        <f>VLOOKUP(data_CLEAN!I27,SCORE_METHOD!$A$13:$C$15,3,FALSE)</f>
        <v>3</v>
      </c>
      <c r="J27">
        <f>VLOOKUP(data_CLEAN!J27,SCORE_METHOD!$A$13:$D$15,4,FALSE)</f>
        <v>3</v>
      </c>
      <c r="K27">
        <f>VLOOKUP(data_CLEAN!K27,SCORE_METHOD!$A$13:$E$15,5,FALSE)</f>
        <v>1</v>
      </c>
      <c r="L27">
        <f>VLOOKUP(data_CLEAN!L27,SCORE_METHOD!$A$19:$B$21,2,FALSE)</f>
        <v>1</v>
      </c>
      <c r="M27">
        <f>IF(data_CLEAN!M27&lt;=SCORE_METHOD!$G$7,SCORE_METHOD!$N$6,IF(data_CLEAN!M27&lt;=SCORE_METHOD!$G$8,SCORE_METHOD!$N$7,SCORE_METHOD!$N$8))</f>
        <v>1</v>
      </c>
      <c r="N27">
        <f>IF(data_CLEAN!N27&lt;=SCORE_METHOD!$H$7,SCORE_METHOD!$N$6,IF(data_CLEAN!N27&lt;=SCORE_METHOD!$H$8,SCORE_METHOD!$N$7,SCORE_METHOD!$N$8))</f>
        <v>1</v>
      </c>
      <c r="O27">
        <f>VLOOKUP(data_CLEAN!O27,SCORE_METHOD!$A$25:$C$26,3,FALSE)</f>
        <v>1</v>
      </c>
      <c r="P27">
        <f>IF(data_CLEAN!P27&lt;=SCORE_METHOD!$I$7,SCORE_METHOD!$N$6,IF(data_CLEAN!P27&lt;=SCORE_METHOD!$I$8,SCORE_METHOD!$N$7,SCORE_METHOD!$N$8))</f>
        <v>3</v>
      </c>
      <c r="Q27">
        <f>IF(data_CLEAN!Q27&lt;=SCORE_METHOD!$B$31,SCORE_METHOD!$C$30,IF(data_CLEAN!Q27&lt;=SCORE_METHOD!$B$32,SCORE_METHOD!$C$31,SCORE_METHOD!$C$32))</f>
        <v>3</v>
      </c>
      <c r="R27">
        <f>IF(data_CLEAN!R27&lt;=SCORE_METHOD!$J$7,SCORE_METHOD!$N$6,IF(data_CLEAN!S27&lt;=SCORE_METHOD!$J$8,SCORE_METHOD!$N$7,SCORE_METHOD!$N$8))</f>
        <v>1</v>
      </c>
      <c r="S27">
        <f>IF(data_CLEAN!S27&lt;=SCORE_METHOD!$D$31,SCORE_METHOD!$E$30,IF(data_CLEAN!S27&lt;=SCORE_METHOD!$D$32,SCORE_METHOD!$E$31,SCORE_METHOD!$E$32))</f>
        <v>1</v>
      </c>
      <c r="T27">
        <f>VLOOKUP(data_CLEAN!T27,SCORE_METHOD!$A$25:$E$26,5,FALSE)</f>
        <v>0</v>
      </c>
      <c r="U27">
        <f>IF(data_CLEAN!U27=1,SCORE_METHOD!$B$37,SCORE_METHOD!$B$38)</f>
        <v>1</v>
      </c>
      <c r="V27">
        <f>IF(data_CLEAN!V27&lt;=SCORE_METHOD!$K$7,SCORE_METHOD!$N$6,IF(data_CLEAN!V27&lt;=SCORE_METHOD!$K$8,SCORE_METHOD!$N$7,SCORE_METHOD!$N$8))</f>
        <v>3</v>
      </c>
      <c r="W27">
        <f>IF(data_CLEAN!W27&lt;=SCORE_METHOD!$L$7,SCORE_METHOD!$N$6,IF(data_CLEAN!W27&lt;=SCORE_METHOD!$L$8,SCORE_METHOD!$N$7,SCORE_METHOD!$N$8))</f>
        <v>2</v>
      </c>
      <c r="X27">
        <f>IF(data_CLEAN!X27&lt;=SCORE_METHOD!$M$7,SCORE_METHOD!$N$6,IF(data_CLEAN!X27&lt;=SCORE_METHOD!$M$8,SCORE_METHOD!$N$7,SCORE_METHOD!$N$8))</f>
        <v>3</v>
      </c>
      <c r="Y27">
        <f>VLOOKUP(data_CLEAN!Y27,SCORE_METHOD!$A$13:$F$15,6,FALSE)</f>
        <v>3</v>
      </c>
      <c r="Z27">
        <f>SUM(C27:L27)*SCORE_METHOD!$E$53</f>
        <v>2</v>
      </c>
      <c r="AA27">
        <f>SUM(M27:N27)*SCORE_METHOD!$E$63</f>
        <v>1</v>
      </c>
      <c r="AB27">
        <f>SUM(O27:U27)*SCORE_METHOD!$E$65</f>
        <v>1.4285714285714284</v>
      </c>
      <c r="AC27">
        <f>SUM(V27:Y27)*SCORE_METHOD!$E$72</f>
        <v>2.75</v>
      </c>
      <c r="AD27">
        <f>Z27*SCORE_METHOD!$C$44+data_SCORING!AA27*SCORE_METHOD!$C$45+data_SCORING!AB27*SCORE_METHOD!$C$46+data_SCORING!AC27*SCORE_METHOD!$C$47</f>
        <v>1.7946428571428572</v>
      </c>
    </row>
    <row r="28" spans="1:30" x14ac:dyDescent="0.25">
      <c r="A28" t="s">
        <v>56</v>
      </c>
      <c r="B28">
        <v>75.904228896299898</v>
      </c>
      <c r="C28">
        <f>IF(data_CLEAN!C28&lt;=SCORE_METHOD!$B$7,SCORE_METHOD!$N$6,IF(data_CLEAN!C28&lt;=SCORE_METHOD!$B$8,SCORE_METHOD!$N$7,SCORE_METHOD!$N$8))</f>
        <v>3</v>
      </c>
      <c r="D28">
        <f>IF(data_CLEAN!D28&lt;=SCORE_METHOD!$C$7,SCORE_METHOD!$N$6,IF(data_CLEAN!D28&lt;=SCORE_METHOD!$C$8,SCORE_METHOD!$N$7,SCORE_METHOD!$N$8))</f>
        <v>3</v>
      </c>
      <c r="E28">
        <f>IF(data_CLEAN!E28&lt;=SCORE_METHOD!$D$7,SCORE_METHOD!$N$6,IF(data_CLEAN!E28&lt;=SCORE_METHOD!$D$8,SCORE_METHOD!$N$7,SCORE_METHOD!$N$8))</f>
        <v>1</v>
      </c>
      <c r="F28">
        <f>IF(data_CLEAN!F28&lt;=SCORE_METHOD!$E$7,SCORE_METHOD!$N$6,IF(data_CLEAN!F28&lt;=SCORE_METHOD!$E$8,SCORE_METHOD!$N$7,SCORE_METHOD!$N$8))</f>
        <v>1</v>
      </c>
      <c r="G28">
        <f>IF(data_CLEAN!G28&lt;=SCORE_METHOD!$F$7,SCORE_METHOD!$N$6,IF(data_CLEAN!G28&lt;=SCORE_METHOD!$F$8,SCORE_METHOD!$N$7,SCORE_METHOD!$N$8))</f>
        <v>1</v>
      </c>
      <c r="H28">
        <f>VLOOKUP(data_CLEAN!H28,SCORE_METHOD!$A$13:$B$15,2,FALSE)</f>
        <v>1</v>
      </c>
      <c r="I28">
        <f>VLOOKUP(data_CLEAN!I28,SCORE_METHOD!$A$13:$C$15,3,FALSE)</f>
        <v>1</v>
      </c>
      <c r="J28">
        <f>VLOOKUP(data_CLEAN!J28,SCORE_METHOD!$A$13:$D$15,4,FALSE)</f>
        <v>1</v>
      </c>
      <c r="K28">
        <f>VLOOKUP(data_CLEAN!K28,SCORE_METHOD!$A$13:$E$15,5,FALSE)</f>
        <v>1</v>
      </c>
      <c r="L28">
        <f>VLOOKUP(data_CLEAN!L28,SCORE_METHOD!$A$19:$B$21,2,FALSE)</f>
        <v>3</v>
      </c>
      <c r="M28">
        <f>IF(data_CLEAN!M28&lt;=SCORE_METHOD!$G$7,SCORE_METHOD!$N$6,IF(data_CLEAN!M28&lt;=SCORE_METHOD!$G$8,SCORE_METHOD!$N$7,SCORE_METHOD!$N$8))</f>
        <v>2</v>
      </c>
      <c r="N28">
        <f>IF(data_CLEAN!N28&lt;=SCORE_METHOD!$H$7,SCORE_METHOD!$N$6,IF(data_CLEAN!N28&lt;=SCORE_METHOD!$H$8,SCORE_METHOD!$N$7,SCORE_METHOD!$N$8))</f>
        <v>2</v>
      </c>
      <c r="O28">
        <f>VLOOKUP(data_CLEAN!O28,SCORE_METHOD!$A$25:$C$26,3,FALSE)</f>
        <v>1</v>
      </c>
      <c r="P28">
        <f>IF(data_CLEAN!P28&lt;=SCORE_METHOD!$I$7,SCORE_METHOD!$N$6,IF(data_CLEAN!P28&lt;=SCORE_METHOD!$I$8,SCORE_METHOD!$N$7,SCORE_METHOD!$N$8))</f>
        <v>1</v>
      </c>
      <c r="Q28">
        <f>IF(data_CLEAN!Q28&lt;=SCORE_METHOD!$B$31,SCORE_METHOD!$C$30,IF(data_CLEAN!Q28&lt;=SCORE_METHOD!$B$32,SCORE_METHOD!$C$31,SCORE_METHOD!$C$32))</f>
        <v>3</v>
      </c>
      <c r="R28">
        <f>IF(data_CLEAN!R28&lt;=SCORE_METHOD!$J$7,SCORE_METHOD!$N$6,IF(data_CLEAN!S28&lt;=SCORE_METHOD!$J$8,SCORE_METHOD!$N$7,SCORE_METHOD!$N$8))</f>
        <v>2</v>
      </c>
      <c r="S28">
        <f>IF(data_CLEAN!S28&lt;=SCORE_METHOD!$D$31,SCORE_METHOD!$E$30,IF(data_CLEAN!S28&lt;=SCORE_METHOD!$D$32,SCORE_METHOD!$E$31,SCORE_METHOD!$E$32))</f>
        <v>1</v>
      </c>
      <c r="T28">
        <f>VLOOKUP(data_CLEAN!T28,SCORE_METHOD!$A$25:$E$26,5,FALSE)</f>
        <v>0</v>
      </c>
      <c r="U28">
        <f>IF(data_CLEAN!U28=1,SCORE_METHOD!$B$37,SCORE_METHOD!$B$38)</f>
        <v>0</v>
      </c>
      <c r="V28">
        <f>IF(data_CLEAN!V28&lt;=SCORE_METHOD!$K$7,SCORE_METHOD!$N$6,IF(data_CLEAN!V28&lt;=SCORE_METHOD!$K$8,SCORE_METHOD!$N$7,SCORE_METHOD!$N$8))</f>
        <v>3</v>
      </c>
      <c r="W28">
        <f>IF(data_CLEAN!W28&lt;=SCORE_METHOD!$L$7,SCORE_METHOD!$N$6,IF(data_CLEAN!W28&lt;=SCORE_METHOD!$L$8,SCORE_METHOD!$N$7,SCORE_METHOD!$N$8))</f>
        <v>2</v>
      </c>
      <c r="X28">
        <f>IF(data_CLEAN!X28&lt;=SCORE_METHOD!$M$7,SCORE_METHOD!$N$6,IF(data_CLEAN!X28&lt;=SCORE_METHOD!$M$8,SCORE_METHOD!$N$7,SCORE_METHOD!$N$8))</f>
        <v>3</v>
      </c>
      <c r="Y28">
        <f>VLOOKUP(data_CLEAN!Y28,SCORE_METHOD!$A$13:$F$15,6,FALSE)</f>
        <v>1</v>
      </c>
      <c r="Z28">
        <f>SUM(C28:L28)*SCORE_METHOD!$E$53</f>
        <v>1.6</v>
      </c>
      <c r="AA28">
        <f>SUM(M28:N28)*SCORE_METHOD!$E$63</f>
        <v>2</v>
      </c>
      <c r="AB28">
        <f>SUM(O28:U28)*SCORE_METHOD!$E$65</f>
        <v>1.1428571428571428</v>
      </c>
      <c r="AC28">
        <f>SUM(V28:Y28)*SCORE_METHOD!$E$72</f>
        <v>2.25</v>
      </c>
      <c r="AD28">
        <f>Z28*SCORE_METHOD!$C$44+data_SCORING!AA28*SCORE_METHOD!$C$45+data_SCORING!AB28*SCORE_METHOD!$C$46+data_SCORING!AC28*SCORE_METHOD!$C$47</f>
        <v>1.7482142857142857</v>
      </c>
    </row>
    <row r="29" spans="1:30" x14ac:dyDescent="0.25">
      <c r="A29" t="s">
        <v>57</v>
      </c>
      <c r="B29">
        <v>24.2876317204</v>
      </c>
      <c r="C29">
        <f>IF(data_CLEAN!C29&lt;=SCORE_METHOD!$B$7,SCORE_METHOD!$N$6,IF(data_CLEAN!C29&lt;=SCORE_METHOD!$B$8,SCORE_METHOD!$N$7,SCORE_METHOD!$N$8))</f>
        <v>3</v>
      </c>
      <c r="D29">
        <f>IF(data_CLEAN!D29&lt;=SCORE_METHOD!$C$7,SCORE_METHOD!$N$6,IF(data_CLEAN!D29&lt;=SCORE_METHOD!$C$8,SCORE_METHOD!$N$7,SCORE_METHOD!$N$8))</f>
        <v>3</v>
      </c>
      <c r="E29">
        <f>IF(data_CLEAN!E29&lt;=SCORE_METHOD!$D$7,SCORE_METHOD!$N$6,IF(data_CLEAN!E29&lt;=SCORE_METHOD!$D$8,SCORE_METHOD!$N$7,SCORE_METHOD!$N$8))</f>
        <v>3</v>
      </c>
      <c r="F29">
        <f>IF(data_CLEAN!F29&lt;=SCORE_METHOD!$E$7,SCORE_METHOD!$N$6,IF(data_CLEAN!F29&lt;=SCORE_METHOD!$E$8,SCORE_METHOD!$N$7,SCORE_METHOD!$N$8))</f>
        <v>3</v>
      </c>
      <c r="G29">
        <f>IF(data_CLEAN!G29&lt;=SCORE_METHOD!$F$7,SCORE_METHOD!$N$6,IF(data_CLEAN!G29&lt;=SCORE_METHOD!$F$8,SCORE_METHOD!$N$7,SCORE_METHOD!$N$8))</f>
        <v>3</v>
      </c>
      <c r="H29">
        <f>VLOOKUP(data_CLEAN!H29,SCORE_METHOD!$A$13:$B$15,2,FALSE)</f>
        <v>1</v>
      </c>
      <c r="I29">
        <f>VLOOKUP(data_CLEAN!I29,SCORE_METHOD!$A$13:$C$15,3,FALSE)</f>
        <v>3</v>
      </c>
      <c r="J29">
        <f>VLOOKUP(data_CLEAN!J29,SCORE_METHOD!$A$13:$D$15,4,FALSE)</f>
        <v>1</v>
      </c>
      <c r="K29">
        <f>VLOOKUP(data_CLEAN!K29,SCORE_METHOD!$A$13:$E$15,5,FALSE)</f>
        <v>1</v>
      </c>
      <c r="L29">
        <f>VLOOKUP(data_CLEAN!L29,SCORE_METHOD!$A$19:$B$21,2,FALSE)</f>
        <v>1</v>
      </c>
      <c r="M29">
        <f>IF(data_CLEAN!M29&lt;=SCORE_METHOD!$G$7,SCORE_METHOD!$N$6,IF(data_CLEAN!M29&lt;=SCORE_METHOD!$G$8,SCORE_METHOD!$N$7,SCORE_METHOD!$N$8))</f>
        <v>3</v>
      </c>
      <c r="N29">
        <f>IF(data_CLEAN!N29&lt;=SCORE_METHOD!$H$7,SCORE_METHOD!$N$6,IF(data_CLEAN!N29&lt;=SCORE_METHOD!$H$8,SCORE_METHOD!$N$7,SCORE_METHOD!$N$8))</f>
        <v>3</v>
      </c>
      <c r="O29">
        <f>VLOOKUP(data_CLEAN!O29,SCORE_METHOD!$A$25:$C$26,3,FALSE)</f>
        <v>1</v>
      </c>
      <c r="P29">
        <f>IF(data_CLEAN!P29&lt;=SCORE_METHOD!$I$7,SCORE_METHOD!$N$6,IF(data_CLEAN!P29&lt;=SCORE_METHOD!$I$8,SCORE_METHOD!$N$7,SCORE_METHOD!$N$8))</f>
        <v>1</v>
      </c>
      <c r="Q29">
        <f>IF(data_CLEAN!Q29&lt;=SCORE_METHOD!$B$31,SCORE_METHOD!$C$30,IF(data_CLEAN!Q29&lt;=SCORE_METHOD!$B$32,SCORE_METHOD!$C$31,SCORE_METHOD!$C$32))</f>
        <v>1</v>
      </c>
      <c r="R29">
        <f>IF(data_CLEAN!R29&lt;=SCORE_METHOD!$J$7,SCORE_METHOD!$N$6,IF(data_CLEAN!S29&lt;=SCORE_METHOD!$J$8,SCORE_METHOD!$N$7,SCORE_METHOD!$N$8))</f>
        <v>2</v>
      </c>
      <c r="S29">
        <f>IF(data_CLEAN!S29&lt;=SCORE_METHOD!$D$31,SCORE_METHOD!$E$30,IF(data_CLEAN!S29&lt;=SCORE_METHOD!$D$32,SCORE_METHOD!$E$31,SCORE_METHOD!$E$32))</f>
        <v>1</v>
      </c>
      <c r="T29">
        <f>VLOOKUP(data_CLEAN!T29,SCORE_METHOD!$A$25:$E$26,5,FALSE)</f>
        <v>0</v>
      </c>
      <c r="U29">
        <f>IF(data_CLEAN!U29=1,SCORE_METHOD!$B$37,SCORE_METHOD!$B$38)</f>
        <v>1</v>
      </c>
      <c r="V29">
        <f>IF(data_CLEAN!V29&lt;=SCORE_METHOD!$K$7,SCORE_METHOD!$N$6,IF(data_CLEAN!V29&lt;=SCORE_METHOD!$K$8,SCORE_METHOD!$N$7,SCORE_METHOD!$N$8))</f>
        <v>3</v>
      </c>
      <c r="W29">
        <f>IF(data_CLEAN!W29&lt;=SCORE_METHOD!$L$7,SCORE_METHOD!$N$6,IF(data_CLEAN!W29&lt;=SCORE_METHOD!$L$8,SCORE_METHOD!$N$7,SCORE_METHOD!$N$8))</f>
        <v>3</v>
      </c>
      <c r="X29">
        <f>IF(data_CLEAN!X29&lt;=SCORE_METHOD!$M$7,SCORE_METHOD!$N$6,IF(data_CLEAN!X29&lt;=SCORE_METHOD!$M$8,SCORE_METHOD!$N$7,SCORE_METHOD!$N$8))</f>
        <v>1</v>
      </c>
      <c r="Y29">
        <f>VLOOKUP(data_CLEAN!Y29,SCORE_METHOD!$A$13:$F$15,6,FALSE)</f>
        <v>1</v>
      </c>
      <c r="Z29">
        <f>SUM(C29:L29)*SCORE_METHOD!$E$53</f>
        <v>2.2000000000000002</v>
      </c>
      <c r="AA29">
        <f>SUM(M29:N29)*SCORE_METHOD!$E$63</f>
        <v>3</v>
      </c>
      <c r="AB29">
        <f>SUM(O29:U29)*SCORE_METHOD!$E$65</f>
        <v>1</v>
      </c>
      <c r="AC29">
        <f>SUM(V29:Y29)*SCORE_METHOD!$E$72</f>
        <v>2</v>
      </c>
      <c r="AD29">
        <f>Z29*SCORE_METHOD!$C$44+data_SCORING!AA29*SCORE_METHOD!$C$45+data_SCORING!AB29*SCORE_METHOD!$C$46+data_SCORING!AC29*SCORE_METHOD!$C$47</f>
        <v>2.0499999999999998</v>
      </c>
    </row>
    <row r="30" spans="1:30" x14ac:dyDescent="0.25">
      <c r="A30" t="s">
        <v>58</v>
      </c>
      <c r="B30">
        <v>16.2004129271</v>
      </c>
      <c r="C30">
        <f>IF(data_CLEAN!C30&lt;=SCORE_METHOD!$B$7,SCORE_METHOD!$N$6,IF(data_CLEAN!C30&lt;=SCORE_METHOD!$B$8,SCORE_METHOD!$N$7,SCORE_METHOD!$N$8))</f>
        <v>2</v>
      </c>
      <c r="D30">
        <f>IF(data_CLEAN!D30&lt;=SCORE_METHOD!$C$7,SCORE_METHOD!$N$6,IF(data_CLEAN!D30&lt;=SCORE_METHOD!$C$8,SCORE_METHOD!$N$7,SCORE_METHOD!$N$8))</f>
        <v>2</v>
      </c>
      <c r="E30">
        <f>IF(data_CLEAN!E30&lt;=SCORE_METHOD!$D$7,SCORE_METHOD!$N$6,IF(data_CLEAN!E30&lt;=SCORE_METHOD!$D$8,SCORE_METHOD!$N$7,SCORE_METHOD!$N$8))</f>
        <v>1</v>
      </c>
      <c r="F30">
        <f>IF(data_CLEAN!F30&lt;=SCORE_METHOD!$E$7,SCORE_METHOD!$N$6,IF(data_CLEAN!F30&lt;=SCORE_METHOD!$E$8,SCORE_METHOD!$N$7,SCORE_METHOD!$N$8))</f>
        <v>1</v>
      </c>
      <c r="G30">
        <f>IF(data_CLEAN!G30&lt;=SCORE_METHOD!$F$7,SCORE_METHOD!$N$6,IF(data_CLEAN!G30&lt;=SCORE_METHOD!$F$8,SCORE_METHOD!$N$7,SCORE_METHOD!$N$8))</f>
        <v>1</v>
      </c>
      <c r="H30">
        <f>VLOOKUP(data_CLEAN!H30,SCORE_METHOD!$A$13:$B$15,2,FALSE)</f>
        <v>3</v>
      </c>
      <c r="I30">
        <f>VLOOKUP(data_CLEAN!I30,SCORE_METHOD!$A$13:$C$15,3,FALSE)</f>
        <v>3</v>
      </c>
      <c r="J30">
        <f>VLOOKUP(data_CLEAN!J30,SCORE_METHOD!$A$13:$D$15,4,FALSE)</f>
        <v>1</v>
      </c>
      <c r="K30">
        <f>VLOOKUP(data_CLEAN!K30,SCORE_METHOD!$A$13:$E$15,5,FALSE)</f>
        <v>3</v>
      </c>
      <c r="L30">
        <f>VLOOKUP(data_CLEAN!L30,SCORE_METHOD!$A$19:$B$21,2,FALSE)</f>
        <v>3</v>
      </c>
      <c r="M30">
        <f>IF(data_CLEAN!M30&lt;=SCORE_METHOD!$G$7,SCORE_METHOD!$N$6,IF(data_CLEAN!M30&lt;=SCORE_METHOD!$G$8,SCORE_METHOD!$N$7,SCORE_METHOD!$N$8))</f>
        <v>3</v>
      </c>
      <c r="N30">
        <f>IF(data_CLEAN!N30&lt;=SCORE_METHOD!$H$7,SCORE_METHOD!$N$6,IF(data_CLEAN!N30&lt;=SCORE_METHOD!$H$8,SCORE_METHOD!$N$7,SCORE_METHOD!$N$8))</f>
        <v>2</v>
      </c>
      <c r="O30">
        <f>VLOOKUP(data_CLEAN!O30,SCORE_METHOD!$A$25:$C$26,3,FALSE)</f>
        <v>1</v>
      </c>
      <c r="P30">
        <f>IF(data_CLEAN!P30&lt;=SCORE_METHOD!$I$7,SCORE_METHOD!$N$6,IF(data_CLEAN!P30&lt;=SCORE_METHOD!$I$8,SCORE_METHOD!$N$7,SCORE_METHOD!$N$8))</f>
        <v>1</v>
      </c>
      <c r="Q30">
        <f>IF(data_CLEAN!Q30&lt;=SCORE_METHOD!$B$31,SCORE_METHOD!$C$30,IF(data_CLEAN!Q30&lt;=SCORE_METHOD!$B$32,SCORE_METHOD!$C$31,SCORE_METHOD!$C$32))</f>
        <v>3</v>
      </c>
      <c r="R30">
        <f>IF(data_CLEAN!R30&lt;=SCORE_METHOD!$J$7,SCORE_METHOD!$N$6,IF(data_CLEAN!S30&lt;=SCORE_METHOD!$J$8,SCORE_METHOD!$N$7,SCORE_METHOD!$N$8))</f>
        <v>1</v>
      </c>
      <c r="S30">
        <f>IF(data_CLEAN!S30&lt;=SCORE_METHOD!$D$31,SCORE_METHOD!$E$30,IF(data_CLEAN!S30&lt;=SCORE_METHOD!$D$32,SCORE_METHOD!$E$31,SCORE_METHOD!$E$32))</f>
        <v>2</v>
      </c>
      <c r="T30">
        <f>VLOOKUP(data_CLEAN!T30,SCORE_METHOD!$A$25:$E$26,5,FALSE)</f>
        <v>0</v>
      </c>
      <c r="U30">
        <f>IF(data_CLEAN!U30=1,SCORE_METHOD!$B$37,SCORE_METHOD!$B$38)</f>
        <v>1</v>
      </c>
      <c r="V30">
        <f>IF(data_CLEAN!V30&lt;=SCORE_METHOD!$K$7,SCORE_METHOD!$N$6,IF(data_CLEAN!V30&lt;=SCORE_METHOD!$K$8,SCORE_METHOD!$N$7,SCORE_METHOD!$N$8))</f>
        <v>2</v>
      </c>
      <c r="W30">
        <f>IF(data_CLEAN!W30&lt;=SCORE_METHOD!$L$7,SCORE_METHOD!$N$6,IF(data_CLEAN!W30&lt;=SCORE_METHOD!$L$8,SCORE_METHOD!$N$7,SCORE_METHOD!$N$8))</f>
        <v>2</v>
      </c>
      <c r="X30">
        <f>IF(data_CLEAN!X30&lt;=SCORE_METHOD!$M$7,SCORE_METHOD!$N$6,IF(data_CLEAN!X30&lt;=SCORE_METHOD!$M$8,SCORE_METHOD!$N$7,SCORE_METHOD!$N$8))</f>
        <v>1</v>
      </c>
      <c r="Y30">
        <f>VLOOKUP(data_CLEAN!Y30,SCORE_METHOD!$A$13:$F$15,6,FALSE)</f>
        <v>2</v>
      </c>
      <c r="Z30">
        <f>SUM(C30:L30)*SCORE_METHOD!$E$53</f>
        <v>2</v>
      </c>
      <c r="AA30">
        <f>SUM(M30:N30)*SCORE_METHOD!$E$63</f>
        <v>2.5</v>
      </c>
      <c r="AB30">
        <f>SUM(O30:U30)*SCORE_METHOD!$E$65</f>
        <v>1.2857142857142856</v>
      </c>
      <c r="AC30">
        <f>SUM(V30:Y30)*SCORE_METHOD!$E$72</f>
        <v>1.75</v>
      </c>
      <c r="AD30">
        <f>Z30*SCORE_METHOD!$C$44+data_SCORING!AA30*SCORE_METHOD!$C$45+data_SCORING!AB30*SCORE_METHOD!$C$46+data_SCORING!AC30*SCORE_METHOD!$C$47</f>
        <v>1.8839285714285714</v>
      </c>
    </row>
    <row r="31" spans="1:30" x14ac:dyDescent="0.25">
      <c r="A31" t="s">
        <v>59</v>
      </c>
      <c r="B31">
        <v>16.3123234551</v>
      </c>
      <c r="C31">
        <f>IF(data_CLEAN!C31&lt;=SCORE_METHOD!$B$7,SCORE_METHOD!$N$6,IF(data_CLEAN!C31&lt;=SCORE_METHOD!$B$8,SCORE_METHOD!$N$7,SCORE_METHOD!$N$8))</f>
        <v>1</v>
      </c>
      <c r="D31">
        <f>IF(data_CLEAN!D31&lt;=SCORE_METHOD!$C$7,SCORE_METHOD!$N$6,IF(data_CLEAN!D31&lt;=SCORE_METHOD!$C$8,SCORE_METHOD!$N$7,SCORE_METHOD!$N$8))</f>
        <v>2</v>
      </c>
      <c r="E31">
        <f>IF(data_CLEAN!E31&lt;=SCORE_METHOD!$D$7,SCORE_METHOD!$N$6,IF(data_CLEAN!E31&lt;=SCORE_METHOD!$D$8,SCORE_METHOD!$N$7,SCORE_METHOD!$N$8))</f>
        <v>1</v>
      </c>
      <c r="F31">
        <f>IF(data_CLEAN!F31&lt;=SCORE_METHOD!$E$7,SCORE_METHOD!$N$6,IF(data_CLEAN!F31&lt;=SCORE_METHOD!$E$8,SCORE_METHOD!$N$7,SCORE_METHOD!$N$8))</f>
        <v>1</v>
      </c>
      <c r="G31">
        <f>IF(data_CLEAN!G31&lt;=SCORE_METHOD!$F$7,SCORE_METHOD!$N$6,IF(data_CLEAN!G31&lt;=SCORE_METHOD!$F$8,SCORE_METHOD!$N$7,SCORE_METHOD!$N$8))</f>
        <v>1</v>
      </c>
      <c r="H31">
        <f>VLOOKUP(data_CLEAN!H31,SCORE_METHOD!$A$13:$B$15,2,FALSE)</f>
        <v>1</v>
      </c>
      <c r="I31">
        <f>VLOOKUP(data_CLEAN!I31,SCORE_METHOD!$A$13:$C$15,3,FALSE)</f>
        <v>3</v>
      </c>
      <c r="J31">
        <f>VLOOKUP(data_CLEAN!J31,SCORE_METHOD!$A$13:$D$15,4,FALSE)</f>
        <v>1</v>
      </c>
      <c r="K31">
        <f>VLOOKUP(data_CLEAN!K31,SCORE_METHOD!$A$13:$E$15,5,FALSE)</f>
        <v>1</v>
      </c>
      <c r="L31">
        <f>VLOOKUP(data_CLEAN!L31,SCORE_METHOD!$A$19:$B$21,2,FALSE)</f>
        <v>2</v>
      </c>
      <c r="M31">
        <f>IF(data_CLEAN!M31&lt;=SCORE_METHOD!$G$7,SCORE_METHOD!$N$6,IF(data_CLEAN!M31&lt;=SCORE_METHOD!$G$8,SCORE_METHOD!$N$7,SCORE_METHOD!$N$8))</f>
        <v>2</v>
      </c>
      <c r="N31">
        <f>IF(data_CLEAN!N31&lt;=SCORE_METHOD!$H$7,SCORE_METHOD!$N$6,IF(data_CLEAN!N31&lt;=SCORE_METHOD!$H$8,SCORE_METHOD!$N$7,SCORE_METHOD!$N$8))</f>
        <v>2</v>
      </c>
      <c r="O31">
        <f>VLOOKUP(data_CLEAN!O31,SCORE_METHOD!$A$25:$C$26,3,FALSE)</f>
        <v>1</v>
      </c>
      <c r="P31">
        <f>IF(data_CLEAN!P31&lt;=SCORE_METHOD!$I$7,SCORE_METHOD!$N$6,IF(data_CLEAN!P31&lt;=SCORE_METHOD!$I$8,SCORE_METHOD!$N$7,SCORE_METHOD!$N$8))</f>
        <v>1</v>
      </c>
      <c r="Q31">
        <f>IF(data_CLEAN!Q31&lt;=SCORE_METHOD!$B$31,SCORE_METHOD!$C$30,IF(data_CLEAN!Q31&lt;=SCORE_METHOD!$B$32,SCORE_METHOD!$C$31,SCORE_METHOD!$C$32))</f>
        <v>2</v>
      </c>
      <c r="R31">
        <f>IF(data_CLEAN!R31&lt;=SCORE_METHOD!$J$7,SCORE_METHOD!$N$6,IF(data_CLEAN!S31&lt;=SCORE_METHOD!$J$8,SCORE_METHOD!$N$7,SCORE_METHOD!$N$8))</f>
        <v>1</v>
      </c>
      <c r="S31">
        <f>IF(data_CLEAN!S31&lt;=SCORE_METHOD!$D$31,SCORE_METHOD!$E$30,IF(data_CLEAN!S31&lt;=SCORE_METHOD!$D$32,SCORE_METHOD!$E$31,SCORE_METHOD!$E$32))</f>
        <v>3</v>
      </c>
      <c r="T31">
        <f>VLOOKUP(data_CLEAN!T31,SCORE_METHOD!$A$25:$E$26,5,FALSE)</f>
        <v>0</v>
      </c>
      <c r="U31">
        <f>IF(data_CLEAN!U31=1,SCORE_METHOD!$B$37,SCORE_METHOD!$B$38)</f>
        <v>1</v>
      </c>
      <c r="V31">
        <f>IF(data_CLEAN!V31&lt;=SCORE_METHOD!$K$7,SCORE_METHOD!$N$6,IF(data_CLEAN!V31&lt;=SCORE_METHOD!$K$8,SCORE_METHOD!$N$7,SCORE_METHOD!$N$8))</f>
        <v>3</v>
      </c>
      <c r="W31">
        <f>IF(data_CLEAN!W31&lt;=SCORE_METHOD!$L$7,SCORE_METHOD!$N$6,IF(data_CLEAN!W31&lt;=SCORE_METHOD!$L$8,SCORE_METHOD!$N$7,SCORE_METHOD!$N$8))</f>
        <v>2</v>
      </c>
      <c r="X31">
        <f>IF(data_CLEAN!X31&lt;=SCORE_METHOD!$M$7,SCORE_METHOD!$N$6,IF(data_CLEAN!X31&lt;=SCORE_METHOD!$M$8,SCORE_METHOD!$N$7,SCORE_METHOD!$N$8))</f>
        <v>3</v>
      </c>
      <c r="Y31">
        <f>VLOOKUP(data_CLEAN!Y31,SCORE_METHOD!$A$13:$F$15,6,FALSE)</f>
        <v>1</v>
      </c>
      <c r="Z31">
        <f>SUM(C31:L31)*SCORE_METHOD!$E$53</f>
        <v>1.4000000000000001</v>
      </c>
      <c r="AA31">
        <f>SUM(M31:N31)*SCORE_METHOD!$E$63</f>
        <v>2</v>
      </c>
      <c r="AB31">
        <f>SUM(O31:U31)*SCORE_METHOD!$E$65</f>
        <v>1.2857142857142856</v>
      </c>
      <c r="AC31">
        <f>SUM(V31:Y31)*SCORE_METHOD!$E$72</f>
        <v>2.25</v>
      </c>
      <c r="AD31">
        <f>Z31*SCORE_METHOD!$C$44+data_SCORING!AA31*SCORE_METHOD!$C$45+data_SCORING!AB31*SCORE_METHOD!$C$46+data_SCORING!AC31*SCORE_METHOD!$C$47</f>
        <v>1.7339285714285715</v>
      </c>
    </row>
    <row r="32" spans="1:30" x14ac:dyDescent="0.25">
      <c r="A32" t="s">
        <v>60</v>
      </c>
      <c r="B32">
        <v>84.428982097299894</v>
      </c>
      <c r="C32">
        <f>IF(data_CLEAN!C32&lt;=SCORE_METHOD!$B$7,SCORE_METHOD!$N$6,IF(data_CLEAN!C32&lt;=SCORE_METHOD!$B$8,SCORE_METHOD!$N$7,SCORE_METHOD!$N$8))</f>
        <v>3</v>
      </c>
      <c r="D32">
        <f>IF(data_CLEAN!D32&lt;=SCORE_METHOD!$C$7,SCORE_METHOD!$N$6,IF(data_CLEAN!D32&lt;=SCORE_METHOD!$C$8,SCORE_METHOD!$N$7,SCORE_METHOD!$N$8))</f>
        <v>3</v>
      </c>
      <c r="E32">
        <f>IF(data_CLEAN!E32&lt;=SCORE_METHOD!$D$7,SCORE_METHOD!$N$6,IF(data_CLEAN!E32&lt;=SCORE_METHOD!$D$8,SCORE_METHOD!$N$7,SCORE_METHOD!$N$8))</f>
        <v>3</v>
      </c>
      <c r="F32">
        <f>IF(data_CLEAN!F32&lt;=SCORE_METHOD!$E$7,SCORE_METHOD!$N$6,IF(data_CLEAN!F32&lt;=SCORE_METHOD!$E$8,SCORE_METHOD!$N$7,SCORE_METHOD!$N$8))</f>
        <v>3</v>
      </c>
      <c r="G32">
        <f>IF(data_CLEAN!G32&lt;=SCORE_METHOD!$F$7,SCORE_METHOD!$N$6,IF(data_CLEAN!G32&lt;=SCORE_METHOD!$F$8,SCORE_METHOD!$N$7,SCORE_METHOD!$N$8))</f>
        <v>3</v>
      </c>
      <c r="H32">
        <f>VLOOKUP(data_CLEAN!H32,SCORE_METHOD!$A$13:$B$15,2,FALSE)</f>
        <v>1</v>
      </c>
      <c r="I32">
        <f>VLOOKUP(data_CLEAN!I32,SCORE_METHOD!$A$13:$C$15,3,FALSE)</f>
        <v>3</v>
      </c>
      <c r="J32">
        <f>VLOOKUP(data_CLEAN!J32,SCORE_METHOD!$A$13:$D$15,4,FALSE)</f>
        <v>1</v>
      </c>
      <c r="K32">
        <f>VLOOKUP(data_CLEAN!K32,SCORE_METHOD!$A$13:$E$15,5,FALSE)</f>
        <v>1</v>
      </c>
      <c r="L32">
        <f>VLOOKUP(data_CLEAN!L32,SCORE_METHOD!$A$19:$B$21,2,FALSE)</f>
        <v>2</v>
      </c>
      <c r="M32">
        <f>IF(data_CLEAN!M32&lt;=SCORE_METHOD!$G$7,SCORE_METHOD!$N$6,IF(data_CLEAN!M32&lt;=SCORE_METHOD!$G$8,SCORE_METHOD!$N$7,SCORE_METHOD!$N$8))</f>
        <v>3</v>
      </c>
      <c r="N32">
        <f>IF(data_CLEAN!N32&lt;=SCORE_METHOD!$H$7,SCORE_METHOD!$N$6,IF(data_CLEAN!N32&lt;=SCORE_METHOD!$H$8,SCORE_METHOD!$N$7,SCORE_METHOD!$N$8))</f>
        <v>3</v>
      </c>
      <c r="O32">
        <f>VLOOKUP(data_CLEAN!O32,SCORE_METHOD!$A$25:$C$26,3,FALSE)</f>
        <v>1</v>
      </c>
      <c r="P32">
        <f>IF(data_CLEAN!P32&lt;=SCORE_METHOD!$I$7,SCORE_METHOD!$N$6,IF(data_CLEAN!P32&lt;=SCORE_METHOD!$I$8,SCORE_METHOD!$N$7,SCORE_METHOD!$N$8))</f>
        <v>3</v>
      </c>
      <c r="Q32">
        <f>IF(data_CLEAN!Q32&lt;=SCORE_METHOD!$B$31,SCORE_METHOD!$C$30,IF(data_CLEAN!Q32&lt;=SCORE_METHOD!$B$32,SCORE_METHOD!$C$31,SCORE_METHOD!$C$32))</f>
        <v>3</v>
      </c>
      <c r="R32">
        <f>IF(data_CLEAN!R32&lt;=SCORE_METHOD!$J$7,SCORE_METHOD!$N$6,IF(data_CLEAN!S32&lt;=SCORE_METHOD!$J$8,SCORE_METHOD!$N$7,SCORE_METHOD!$N$8))</f>
        <v>1</v>
      </c>
      <c r="S32">
        <f>IF(data_CLEAN!S32&lt;=SCORE_METHOD!$D$31,SCORE_METHOD!$E$30,IF(data_CLEAN!S32&lt;=SCORE_METHOD!$D$32,SCORE_METHOD!$E$31,SCORE_METHOD!$E$32))</f>
        <v>1</v>
      </c>
      <c r="T32">
        <f>VLOOKUP(data_CLEAN!T32,SCORE_METHOD!$A$25:$E$26,5,FALSE)</f>
        <v>0</v>
      </c>
      <c r="U32">
        <f>IF(data_CLEAN!U32=1,SCORE_METHOD!$B$37,SCORE_METHOD!$B$38)</f>
        <v>1</v>
      </c>
      <c r="V32">
        <f>IF(data_CLEAN!V32&lt;=SCORE_METHOD!$K$7,SCORE_METHOD!$N$6,IF(data_CLEAN!V32&lt;=SCORE_METHOD!$K$8,SCORE_METHOD!$N$7,SCORE_METHOD!$N$8))</f>
        <v>3</v>
      </c>
      <c r="W32">
        <f>IF(data_CLEAN!W32&lt;=SCORE_METHOD!$L$7,SCORE_METHOD!$N$6,IF(data_CLEAN!W32&lt;=SCORE_METHOD!$L$8,SCORE_METHOD!$N$7,SCORE_METHOD!$N$8))</f>
        <v>3</v>
      </c>
      <c r="X32">
        <f>IF(data_CLEAN!X32&lt;=SCORE_METHOD!$M$7,SCORE_METHOD!$N$6,IF(data_CLEAN!X32&lt;=SCORE_METHOD!$M$8,SCORE_METHOD!$N$7,SCORE_METHOD!$N$8))</f>
        <v>3</v>
      </c>
      <c r="Y32">
        <f>VLOOKUP(data_CLEAN!Y32,SCORE_METHOD!$A$13:$F$15,6,FALSE)</f>
        <v>1</v>
      </c>
      <c r="Z32">
        <f>SUM(C32:L32)*SCORE_METHOD!$E$53</f>
        <v>2.3000000000000003</v>
      </c>
      <c r="AA32">
        <f>SUM(M32:N32)*SCORE_METHOD!$E$63</f>
        <v>3</v>
      </c>
      <c r="AB32">
        <f>SUM(O32:U32)*SCORE_METHOD!$E$65</f>
        <v>1.4285714285714284</v>
      </c>
      <c r="AC32">
        <f>SUM(V32:Y32)*SCORE_METHOD!$E$72</f>
        <v>2.5</v>
      </c>
      <c r="AD32">
        <f>Z32*SCORE_METHOD!$C$44+data_SCORING!AA32*SCORE_METHOD!$C$45+data_SCORING!AB32*SCORE_METHOD!$C$46+data_SCORING!AC32*SCORE_METHOD!$C$47</f>
        <v>2.3071428571428574</v>
      </c>
    </row>
    <row r="33" spans="1:30" x14ac:dyDescent="0.25">
      <c r="A33" t="s">
        <v>61</v>
      </c>
      <c r="B33">
        <v>23.3867259365</v>
      </c>
      <c r="C33">
        <f>IF(data_CLEAN!C33&lt;=SCORE_METHOD!$B$7,SCORE_METHOD!$N$6,IF(data_CLEAN!C33&lt;=SCORE_METHOD!$B$8,SCORE_METHOD!$N$7,SCORE_METHOD!$N$8))</f>
        <v>3</v>
      </c>
      <c r="D33">
        <f>IF(data_CLEAN!D33&lt;=SCORE_METHOD!$C$7,SCORE_METHOD!$N$6,IF(data_CLEAN!D33&lt;=SCORE_METHOD!$C$8,SCORE_METHOD!$N$7,SCORE_METHOD!$N$8))</f>
        <v>2</v>
      </c>
      <c r="E33">
        <f>IF(data_CLEAN!E33&lt;=SCORE_METHOD!$D$7,SCORE_METHOD!$N$6,IF(data_CLEAN!E33&lt;=SCORE_METHOD!$D$8,SCORE_METHOD!$N$7,SCORE_METHOD!$N$8))</f>
        <v>1</v>
      </c>
      <c r="F33">
        <f>IF(data_CLEAN!F33&lt;=SCORE_METHOD!$E$7,SCORE_METHOD!$N$6,IF(data_CLEAN!F33&lt;=SCORE_METHOD!$E$8,SCORE_METHOD!$N$7,SCORE_METHOD!$N$8))</f>
        <v>1</v>
      </c>
      <c r="G33">
        <f>IF(data_CLEAN!G33&lt;=SCORE_METHOD!$F$7,SCORE_METHOD!$N$6,IF(data_CLEAN!G33&lt;=SCORE_METHOD!$F$8,SCORE_METHOD!$N$7,SCORE_METHOD!$N$8))</f>
        <v>1</v>
      </c>
      <c r="H33">
        <f>VLOOKUP(data_CLEAN!H33,SCORE_METHOD!$A$13:$B$15,2,FALSE)</f>
        <v>3</v>
      </c>
      <c r="I33">
        <f>VLOOKUP(data_CLEAN!I33,SCORE_METHOD!$A$13:$C$15,3,FALSE)</f>
        <v>3</v>
      </c>
      <c r="J33">
        <f>VLOOKUP(data_CLEAN!J33,SCORE_METHOD!$A$13:$D$15,4,FALSE)</f>
        <v>1</v>
      </c>
      <c r="K33">
        <f>VLOOKUP(data_CLEAN!K33,SCORE_METHOD!$A$13:$E$15,5,FALSE)</f>
        <v>3</v>
      </c>
      <c r="L33">
        <f>VLOOKUP(data_CLEAN!L33,SCORE_METHOD!$A$19:$B$21,2,FALSE)</f>
        <v>1</v>
      </c>
      <c r="M33">
        <f>IF(data_CLEAN!M33&lt;=SCORE_METHOD!$G$7,SCORE_METHOD!$N$6,IF(data_CLEAN!M33&lt;=SCORE_METHOD!$G$8,SCORE_METHOD!$N$7,SCORE_METHOD!$N$8))</f>
        <v>1</v>
      </c>
      <c r="N33">
        <f>IF(data_CLEAN!N33&lt;=SCORE_METHOD!$H$7,SCORE_METHOD!$N$6,IF(data_CLEAN!N33&lt;=SCORE_METHOD!$H$8,SCORE_METHOD!$N$7,SCORE_METHOD!$N$8))</f>
        <v>1</v>
      </c>
      <c r="O33">
        <f>VLOOKUP(data_CLEAN!O33,SCORE_METHOD!$A$25:$C$26,3,FALSE)</f>
        <v>1</v>
      </c>
      <c r="P33">
        <f>IF(data_CLEAN!P33&lt;=SCORE_METHOD!$I$7,SCORE_METHOD!$N$6,IF(data_CLEAN!P33&lt;=SCORE_METHOD!$I$8,SCORE_METHOD!$N$7,SCORE_METHOD!$N$8))</f>
        <v>2</v>
      </c>
      <c r="Q33">
        <f>IF(data_CLEAN!Q33&lt;=SCORE_METHOD!$B$31,SCORE_METHOD!$C$30,IF(data_CLEAN!Q33&lt;=SCORE_METHOD!$B$32,SCORE_METHOD!$C$31,SCORE_METHOD!$C$32))</f>
        <v>1</v>
      </c>
      <c r="R33">
        <f>IF(data_CLEAN!R33&lt;=SCORE_METHOD!$J$7,SCORE_METHOD!$N$6,IF(data_CLEAN!S33&lt;=SCORE_METHOD!$J$8,SCORE_METHOD!$N$7,SCORE_METHOD!$N$8))</f>
        <v>2</v>
      </c>
      <c r="S33">
        <f>IF(data_CLEAN!S33&lt;=SCORE_METHOD!$D$31,SCORE_METHOD!$E$30,IF(data_CLEAN!S33&lt;=SCORE_METHOD!$D$32,SCORE_METHOD!$E$31,SCORE_METHOD!$E$32))</f>
        <v>1</v>
      </c>
      <c r="T33">
        <f>VLOOKUP(data_CLEAN!T33,SCORE_METHOD!$A$25:$E$26,5,FALSE)</f>
        <v>0</v>
      </c>
      <c r="U33">
        <f>IF(data_CLEAN!U33=1,SCORE_METHOD!$B$37,SCORE_METHOD!$B$38)</f>
        <v>1</v>
      </c>
      <c r="V33">
        <f>IF(data_CLEAN!V33&lt;=SCORE_METHOD!$K$7,SCORE_METHOD!$N$6,IF(data_CLEAN!V33&lt;=SCORE_METHOD!$K$8,SCORE_METHOD!$N$7,SCORE_METHOD!$N$8))</f>
        <v>3</v>
      </c>
      <c r="W33">
        <f>IF(data_CLEAN!W33&lt;=SCORE_METHOD!$L$7,SCORE_METHOD!$N$6,IF(data_CLEAN!W33&lt;=SCORE_METHOD!$L$8,SCORE_METHOD!$N$7,SCORE_METHOD!$N$8))</f>
        <v>3</v>
      </c>
      <c r="X33">
        <f>IF(data_CLEAN!X33&lt;=SCORE_METHOD!$M$7,SCORE_METHOD!$N$6,IF(data_CLEAN!X33&lt;=SCORE_METHOD!$M$8,SCORE_METHOD!$N$7,SCORE_METHOD!$N$8))</f>
        <v>1</v>
      </c>
      <c r="Y33">
        <f>VLOOKUP(data_CLEAN!Y33,SCORE_METHOD!$A$13:$F$15,6,FALSE)</f>
        <v>2</v>
      </c>
      <c r="Z33">
        <f>SUM(C33:L33)*SCORE_METHOD!$E$53</f>
        <v>1.9000000000000001</v>
      </c>
      <c r="AA33">
        <f>SUM(M33:N33)*SCORE_METHOD!$E$63</f>
        <v>1</v>
      </c>
      <c r="AB33">
        <f>SUM(O33:U33)*SCORE_METHOD!$E$65</f>
        <v>1.1428571428571428</v>
      </c>
      <c r="AC33">
        <f>SUM(V33:Y33)*SCORE_METHOD!$E$72</f>
        <v>2.25</v>
      </c>
      <c r="AD33">
        <f>Z33*SCORE_METHOD!$C$44+data_SCORING!AA33*SCORE_METHOD!$C$45+data_SCORING!AB33*SCORE_METHOD!$C$46+data_SCORING!AC33*SCORE_METHOD!$C$47</f>
        <v>1.5732142857142857</v>
      </c>
    </row>
    <row r="34" spans="1:30" x14ac:dyDescent="0.25">
      <c r="A34" t="s">
        <v>62</v>
      </c>
      <c r="B34">
        <v>21.4947777289999</v>
      </c>
      <c r="C34">
        <f>IF(data_CLEAN!C34&lt;=SCORE_METHOD!$B$7,SCORE_METHOD!$N$6,IF(data_CLEAN!C34&lt;=SCORE_METHOD!$B$8,SCORE_METHOD!$N$7,SCORE_METHOD!$N$8))</f>
        <v>1</v>
      </c>
      <c r="D34">
        <f>IF(data_CLEAN!D34&lt;=SCORE_METHOD!$C$7,SCORE_METHOD!$N$6,IF(data_CLEAN!D34&lt;=SCORE_METHOD!$C$8,SCORE_METHOD!$N$7,SCORE_METHOD!$N$8))</f>
        <v>1</v>
      </c>
      <c r="E34">
        <f>IF(data_CLEAN!E34&lt;=SCORE_METHOD!$D$7,SCORE_METHOD!$N$6,IF(data_CLEAN!E34&lt;=SCORE_METHOD!$D$8,SCORE_METHOD!$N$7,SCORE_METHOD!$N$8))</f>
        <v>3</v>
      </c>
      <c r="F34">
        <f>IF(data_CLEAN!F34&lt;=SCORE_METHOD!$E$7,SCORE_METHOD!$N$6,IF(data_CLEAN!F34&lt;=SCORE_METHOD!$E$8,SCORE_METHOD!$N$7,SCORE_METHOD!$N$8))</f>
        <v>2</v>
      </c>
      <c r="G34">
        <f>IF(data_CLEAN!G34&lt;=SCORE_METHOD!$F$7,SCORE_METHOD!$N$6,IF(data_CLEAN!G34&lt;=SCORE_METHOD!$F$8,SCORE_METHOD!$N$7,SCORE_METHOD!$N$8))</f>
        <v>3</v>
      </c>
      <c r="H34">
        <f>VLOOKUP(data_CLEAN!H34,SCORE_METHOD!$A$13:$B$15,2,FALSE)</f>
        <v>3</v>
      </c>
      <c r="I34">
        <f>VLOOKUP(data_CLEAN!I34,SCORE_METHOD!$A$13:$C$15,3,FALSE)</f>
        <v>3</v>
      </c>
      <c r="J34">
        <f>VLOOKUP(data_CLEAN!J34,SCORE_METHOD!$A$13:$D$15,4,FALSE)</f>
        <v>1</v>
      </c>
      <c r="K34">
        <f>VLOOKUP(data_CLEAN!K34,SCORE_METHOD!$A$13:$E$15,5,FALSE)</f>
        <v>1</v>
      </c>
      <c r="L34">
        <f>VLOOKUP(data_CLEAN!L34,SCORE_METHOD!$A$19:$B$21,2,FALSE)</f>
        <v>2</v>
      </c>
      <c r="M34">
        <f>IF(data_CLEAN!M34&lt;=SCORE_METHOD!$G$7,SCORE_METHOD!$N$6,IF(data_CLEAN!M34&lt;=SCORE_METHOD!$G$8,SCORE_METHOD!$N$7,SCORE_METHOD!$N$8))</f>
        <v>1</v>
      </c>
      <c r="N34">
        <f>IF(data_CLEAN!N34&lt;=SCORE_METHOD!$H$7,SCORE_METHOD!$N$6,IF(data_CLEAN!N34&lt;=SCORE_METHOD!$H$8,SCORE_METHOD!$N$7,SCORE_METHOD!$N$8))</f>
        <v>1</v>
      </c>
      <c r="O34">
        <f>VLOOKUP(data_CLEAN!O34,SCORE_METHOD!$A$25:$C$26,3,FALSE)</f>
        <v>1</v>
      </c>
      <c r="P34">
        <f>IF(data_CLEAN!P34&lt;=SCORE_METHOD!$I$7,SCORE_METHOD!$N$6,IF(data_CLEAN!P34&lt;=SCORE_METHOD!$I$8,SCORE_METHOD!$N$7,SCORE_METHOD!$N$8))</f>
        <v>1</v>
      </c>
      <c r="Q34">
        <f>IF(data_CLEAN!Q34&lt;=SCORE_METHOD!$B$31,SCORE_METHOD!$C$30,IF(data_CLEAN!Q34&lt;=SCORE_METHOD!$B$32,SCORE_METHOD!$C$31,SCORE_METHOD!$C$32))</f>
        <v>1</v>
      </c>
      <c r="R34">
        <f>IF(data_CLEAN!R34&lt;=SCORE_METHOD!$J$7,SCORE_METHOD!$N$6,IF(data_CLEAN!S34&lt;=SCORE_METHOD!$J$8,SCORE_METHOD!$N$7,SCORE_METHOD!$N$8))</f>
        <v>2</v>
      </c>
      <c r="S34">
        <f>IF(data_CLEAN!S34&lt;=SCORE_METHOD!$D$31,SCORE_METHOD!$E$30,IF(data_CLEAN!S34&lt;=SCORE_METHOD!$D$32,SCORE_METHOD!$E$31,SCORE_METHOD!$E$32))</f>
        <v>1</v>
      </c>
      <c r="T34">
        <f>VLOOKUP(data_CLEAN!T34,SCORE_METHOD!$A$25:$E$26,5,FALSE)</f>
        <v>0</v>
      </c>
      <c r="U34">
        <f>IF(data_CLEAN!U34=1,SCORE_METHOD!$B$37,SCORE_METHOD!$B$38)</f>
        <v>0</v>
      </c>
      <c r="V34">
        <f>IF(data_CLEAN!V34&lt;=SCORE_METHOD!$K$7,SCORE_METHOD!$N$6,IF(data_CLEAN!V34&lt;=SCORE_METHOD!$K$8,SCORE_METHOD!$N$7,SCORE_METHOD!$N$8))</f>
        <v>1</v>
      </c>
      <c r="W34">
        <f>IF(data_CLEAN!W34&lt;=SCORE_METHOD!$L$7,SCORE_METHOD!$N$6,IF(data_CLEAN!W34&lt;=SCORE_METHOD!$L$8,SCORE_METHOD!$N$7,SCORE_METHOD!$N$8))</f>
        <v>1</v>
      </c>
      <c r="X34">
        <f>IF(data_CLEAN!X34&lt;=SCORE_METHOD!$M$7,SCORE_METHOD!$N$6,IF(data_CLEAN!X34&lt;=SCORE_METHOD!$M$8,SCORE_METHOD!$N$7,SCORE_METHOD!$N$8))</f>
        <v>1</v>
      </c>
      <c r="Y34">
        <f>VLOOKUP(data_CLEAN!Y34,SCORE_METHOD!$A$13:$F$15,6,FALSE)</f>
        <v>1</v>
      </c>
      <c r="Z34">
        <f>SUM(C34:L34)*SCORE_METHOD!$E$53</f>
        <v>2</v>
      </c>
      <c r="AA34">
        <f>SUM(M34:N34)*SCORE_METHOD!$E$63</f>
        <v>1</v>
      </c>
      <c r="AB34">
        <f>SUM(O34:U34)*SCORE_METHOD!$E$65</f>
        <v>0.8571428571428571</v>
      </c>
      <c r="AC34">
        <f>SUM(V34:Y34)*SCORE_METHOD!$E$72</f>
        <v>1</v>
      </c>
      <c r="AD34">
        <f>Z34*SCORE_METHOD!$C$44+data_SCORING!AA34*SCORE_METHOD!$C$45+data_SCORING!AB34*SCORE_METHOD!$C$46+data_SCORING!AC34*SCORE_METHOD!$C$47</f>
        <v>1.2142857142857144</v>
      </c>
    </row>
    <row r="35" spans="1:30" x14ac:dyDescent="0.25">
      <c r="A35" t="s">
        <v>63</v>
      </c>
      <c r="B35">
        <v>56.814608672299897</v>
      </c>
      <c r="C35">
        <f>IF(data_CLEAN!C35&lt;=SCORE_METHOD!$B$7,SCORE_METHOD!$N$6,IF(data_CLEAN!C35&lt;=SCORE_METHOD!$B$8,SCORE_METHOD!$N$7,SCORE_METHOD!$N$8))</f>
        <v>3</v>
      </c>
      <c r="D35">
        <f>IF(data_CLEAN!D35&lt;=SCORE_METHOD!$C$7,SCORE_METHOD!$N$6,IF(data_CLEAN!D35&lt;=SCORE_METHOD!$C$8,SCORE_METHOD!$N$7,SCORE_METHOD!$N$8))</f>
        <v>3</v>
      </c>
      <c r="E35">
        <f>IF(data_CLEAN!E35&lt;=SCORE_METHOD!$D$7,SCORE_METHOD!$N$6,IF(data_CLEAN!E35&lt;=SCORE_METHOD!$D$8,SCORE_METHOD!$N$7,SCORE_METHOD!$N$8))</f>
        <v>1</v>
      </c>
      <c r="F35">
        <f>IF(data_CLEAN!F35&lt;=SCORE_METHOD!$E$7,SCORE_METHOD!$N$6,IF(data_CLEAN!F35&lt;=SCORE_METHOD!$E$8,SCORE_METHOD!$N$7,SCORE_METHOD!$N$8))</f>
        <v>1</v>
      </c>
      <c r="G35">
        <f>IF(data_CLEAN!G35&lt;=SCORE_METHOD!$F$7,SCORE_METHOD!$N$6,IF(data_CLEAN!G35&lt;=SCORE_METHOD!$F$8,SCORE_METHOD!$N$7,SCORE_METHOD!$N$8))</f>
        <v>1</v>
      </c>
      <c r="H35">
        <f>VLOOKUP(data_CLEAN!H35,SCORE_METHOD!$A$13:$B$15,2,FALSE)</f>
        <v>1</v>
      </c>
      <c r="I35">
        <f>VLOOKUP(data_CLEAN!I35,SCORE_METHOD!$A$13:$C$15,3,FALSE)</f>
        <v>1</v>
      </c>
      <c r="J35">
        <f>VLOOKUP(data_CLEAN!J35,SCORE_METHOD!$A$13:$D$15,4,FALSE)</f>
        <v>1</v>
      </c>
      <c r="K35">
        <f>VLOOKUP(data_CLEAN!K35,SCORE_METHOD!$A$13:$E$15,5,FALSE)</f>
        <v>1</v>
      </c>
      <c r="L35">
        <f>VLOOKUP(data_CLEAN!L35,SCORE_METHOD!$A$19:$B$21,2,FALSE)</f>
        <v>1</v>
      </c>
      <c r="M35">
        <f>IF(data_CLEAN!M35&lt;=SCORE_METHOD!$G$7,SCORE_METHOD!$N$6,IF(data_CLEAN!M35&lt;=SCORE_METHOD!$G$8,SCORE_METHOD!$N$7,SCORE_METHOD!$N$8))</f>
        <v>3</v>
      </c>
      <c r="N35">
        <f>IF(data_CLEAN!N35&lt;=SCORE_METHOD!$H$7,SCORE_METHOD!$N$6,IF(data_CLEAN!N35&lt;=SCORE_METHOD!$H$8,SCORE_METHOD!$N$7,SCORE_METHOD!$N$8))</f>
        <v>2</v>
      </c>
      <c r="O35">
        <f>VLOOKUP(data_CLEAN!O35,SCORE_METHOD!$A$25:$C$26,3,FALSE)</f>
        <v>1</v>
      </c>
      <c r="P35">
        <f>IF(data_CLEAN!P35&lt;=SCORE_METHOD!$I$7,SCORE_METHOD!$N$6,IF(data_CLEAN!P35&lt;=SCORE_METHOD!$I$8,SCORE_METHOD!$N$7,SCORE_METHOD!$N$8))</f>
        <v>1</v>
      </c>
      <c r="Q35">
        <f>IF(data_CLEAN!Q35&lt;=SCORE_METHOD!$B$31,SCORE_METHOD!$C$30,IF(data_CLEAN!Q35&lt;=SCORE_METHOD!$B$32,SCORE_METHOD!$C$31,SCORE_METHOD!$C$32))</f>
        <v>1</v>
      </c>
      <c r="R35">
        <f>IF(data_CLEAN!R35&lt;=SCORE_METHOD!$J$7,SCORE_METHOD!$N$6,IF(data_CLEAN!S35&lt;=SCORE_METHOD!$J$8,SCORE_METHOD!$N$7,SCORE_METHOD!$N$8))</f>
        <v>2</v>
      </c>
      <c r="S35">
        <f>IF(data_CLEAN!S35&lt;=SCORE_METHOD!$D$31,SCORE_METHOD!$E$30,IF(data_CLEAN!S35&lt;=SCORE_METHOD!$D$32,SCORE_METHOD!$E$31,SCORE_METHOD!$E$32))</f>
        <v>2</v>
      </c>
      <c r="T35">
        <f>VLOOKUP(data_CLEAN!T35,SCORE_METHOD!$A$25:$E$26,5,FALSE)</f>
        <v>0</v>
      </c>
      <c r="U35">
        <f>IF(data_CLEAN!U35=1,SCORE_METHOD!$B$37,SCORE_METHOD!$B$38)</f>
        <v>1</v>
      </c>
      <c r="V35">
        <f>IF(data_CLEAN!V35&lt;=SCORE_METHOD!$K$7,SCORE_METHOD!$N$6,IF(data_CLEAN!V35&lt;=SCORE_METHOD!$K$8,SCORE_METHOD!$N$7,SCORE_METHOD!$N$8))</f>
        <v>2</v>
      </c>
      <c r="W35">
        <f>IF(data_CLEAN!W35&lt;=SCORE_METHOD!$L$7,SCORE_METHOD!$N$6,IF(data_CLEAN!W35&lt;=SCORE_METHOD!$L$8,SCORE_METHOD!$N$7,SCORE_METHOD!$N$8))</f>
        <v>1</v>
      </c>
      <c r="X35">
        <f>IF(data_CLEAN!X35&lt;=SCORE_METHOD!$M$7,SCORE_METHOD!$N$6,IF(data_CLEAN!X35&lt;=SCORE_METHOD!$M$8,SCORE_METHOD!$N$7,SCORE_METHOD!$N$8))</f>
        <v>1</v>
      </c>
      <c r="Y35">
        <f>VLOOKUP(data_CLEAN!Y35,SCORE_METHOD!$A$13:$F$15,6,FALSE)</f>
        <v>3</v>
      </c>
      <c r="Z35">
        <f>SUM(C35:L35)*SCORE_METHOD!$E$53</f>
        <v>1.4000000000000001</v>
      </c>
      <c r="AA35">
        <f>SUM(M35:N35)*SCORE_METHOD!$E$63</f>
        <v>2.5</v>
      </c>
      <c r="AB35">
        <f>SUM(O35:U35)*SCORE_METHOD!$E$65</f>
        <v>1.1428571428571428</v>
      </c>
      <c r="AC35">
        <f>SUM(V35:Y35)*SCORE_METHOD!$E$72</f>
        <v>1.75</v>
      </c>
      <c r="AD35">
        <f>Z35*SCORE_METHOD!$C$44+data_SCORING!AA35*SCORE_METHOD!$C$45+data_SCORING!AB35*SCORE_METHOD!$C$46+data_SCORING!AC35*SCORE_METHOD!$C$47</f>
        <v>1.6982142857142857</v>
      </c>
    </row>
    <row r="36" spans="1:30" x14ac:dyDescent="0.25">
      <c r="A36" t="s">
        <v>64</v>
      </c>
      <c r="B36">
        <v>95.0268986208999</v>
      </c>
      <c r="C36">
        <f>IF(data_CLEAN!C36&lt;=SCORE_METHOD!$B$7,SCORE_METHOD!$N$6,IF(data_CLEAN!C36&lt;=SCORE_METHOD!$B$8,SCORE_METHOD!$N$7,SCORE_METHOD!$N$8))</f>
        <v>1</v>
      </c>
      <c r="D36">
        <f>IF(data_CLEAN!D36&lt;=SCORE_METHOD!$C$7,SCORE_METHOD!$N$6,IF(data_CLEAN!D36&lt;=SCORE_METHOD!$C$8,SCORE_METHOD!$N$7,SCORE_METHOD!$N$8))</f>
        <v>1</v>
      </c>
      <c r="E36">
        <f>IF(data_CLEAN!E36&lt;=SCORE_METHOD!$D$7,SCORE_METHOD!$N$6,IF(data_CLEAN!E36&lt;=SCORE_METHOD!$D$8,SCORE_METHOD!$N$7,SCORE_METHOD!$N$8))</f>
        <v>2</v>
      </c>
      <c r="F36">
        <f>IF(data_CLEAN!F36&lt;=SCORE_METHOD!$E$7,SCORE_METHOD!$N$6,IF(data_CLEAN!F36&lt;=SCORE_METHOD!$E$8,SCORE_METHOD!$N$7,SCORE_METHOD!$N$8))</f>
        <v>1</v>
      </c>
      <c r="G36">
        <f>IF(data_CLEAN!G36&lt;=SCORE_METHOD!$F$7,SCORE_METHOD!$N$6,IF(data_CLEAN!G36&lt;=SCORE_METHOD!$F$8,SCORE_METHOD!$N$7,SCORE_METHOD!$N$8))</f>
        <v>2</v>
      </c>
      <c r="H36">
        <f>VLOOKUP(data_CLEAN!H36,SCORE_METHOD!$A$13:$B$15,2,FALSE)</f>
        <v>1</v>
      </c>
      <c r="I36">
        <f>VLOOKUP(data_CLEAN!I36,SCORE_METHOD!$A$13:$C$15,3,FALSE)</f>
        <v>3</v>
      </c>
      <c r="J36">
        <f>VLOOKUP(data_CLEAN!J36,SCORE_METHOD!$A$13:$D$15,4,FALSE)</f>
        <v>1</v>
      </c>
      <c r="K36">
        <f>VLOOKUP(data_CLEAN!K36,SCORE_METHOD!$A$13:$E$15,5,FALSE)</f>
        <v>1</v>
      </c>
      <c r="L36">
        <f>VLOOKUP(data_CLEAN!L36,SCORE_METHOD!$A$19:$B$21,2,FALSE)</f>
        <v>3</v>
      </c>
      <c r="M36">
        <f>IF(data_CLEAN!M36&lt;=SCORE_METHOD!$G$7,SCORE_METHOD!$N$6,IF(data_CLEAN!M36&lt;=SCORE_METHOD!$G$8,SCORE_METHOD!$N$7,SCORE_METHOD!$N$8))</f>
        <v>1</v>
      </c>
      <c r="N36">
        <f>IF(data_CLEAN!N36&lt;=SCORE_METHOD!$H$7,SCORE_METHOD!$N$6,IF(data_CLEAN!N36&lt;=SCORE_METHOD!$H$8,SCORE_METHOD!$N$7,SCORE_METHOD!$N$8))</f>
        <v>1</v>
      </c>
      <c r="O36">
        <f>VLOOKUP(data_CLEAN!O36,SCORE_METHOD!$A$25:$C$26,3,FALSE)</f>
        <v>1</v>
      </c>
      <c r="P36">
        <f>IF(data_CLEAN!P36&lt;=SCORE_METHOD!$I$7,SCORE_METHOD!$N$6,IF(data_CLEAN!P36&lt;=SCORE_METHOD!$I$8,SCORE_METHOD!$N$7,SCORE_METHOD!$N$8))</f>
        <v>2</v>
      </c>
      <c r="Q36">
        <f>IF(data_CLEAN!Q36&lt;=SCORE_METHOD!$B$31,SCORE_METHOD!$C$30,IF(data_CLEAN!Q36&lt;=SCORE_METHOD!$B$32,SCORE_METHOD!$C$31,SCORE_METHOD!$C$32))</f>
        <v>2</v>
      </c>
      <c r="R36">
        <f>IF(data_CLEAN!R36&lt;=SCORE_METHOD!$J$7,SCORE_METHOD!$N$6,IF(data_CLEAN!S36&lt;=SCORE_METHOD!$J$8,SCORE_METHOD!$N$7,SCORE_METHOD!$N$8))</f>
        <v>3</v>
      </c>
      <c r="S36">
        <f>IF(data_CLEAN!S36&lt;=SCORE_METHOD!$D$31,SCORE_METHOD!$E$30,IF(data_CLEAN!S36&lt;=SCORE_METHOD!$D$32,SCORE_METHOD!$E$31,SCORE_METHOD!$E$32))</f>
        <v>1</v>
      </c>
      <c r="T36">
        <f>VLOOKUP(data_CLEAN!T36,SCORE_METHOD!$A$25:$E$26,5,FALSE)</f>
        <v>0</v>
      </c>
      <c r="U36">
        <f>IF(data_CLEAN!U36=1,SCORE_METHOD!$B$37,SCORE_METHOD!$B$38)</f>
        <v>1</v>
      </c>
      <c r="V36">
        <f>IF(data_CLEAN!V36&lt;=SCORE_METHOD!$K$7,SCORE_METHOD!$N$6,IF(data_CLEAN!V36&lt;=SCORE_METHOD!$K$8,SCORE_METHOD!$N$7,SCORE_METHOD!$N$8))</f>
        <v>1</v>
      </c>
      <c r="W36">
        <f>IF(data_CLEAN!W36&lt;=SCORE_METHOD!$L$7,SCORE_METHOD!$N$6,IF(data_CLEAN!W36&lt;=SCORE_METHOD!$L$8,SCORE_METHOD!$N$7,SCORE_METHOD!$N$8))</f>
        <v>1</v>
      </c>
      <c r="X36">
        <f>IF(data_CLEAN!X36&lt;=SCORE_METHOD!$M$7,SCORE_METHOD!$N$6,IF(data_CLEAN!X36&lt;=SCORE_METHOD!$M$8,SCORE_METHOD!$N$7,SCORE_METHOD!$N$8))</f>
        <v>1</v>
      </c>
      <c r="Y36">
        <f>VLOOKUP(data_CLEAN!Y36,SCORE_METHOD!$A$13:$F$15,6,FALSE)</f>
        <v>2</v>
      </c>
      <c r="Z36">
        <f>SUM(C36:L36)*SCORE_METHOD!$E$53</f>
        <v>1.6</v>
      </c>
      <c r="AA36">
        <f>SUM(M36:N36)*SCORE_METHOD!$E$63</f>
        <v>1</v>
      </c>
      <c r="AB36">
        <f>SUM(O36:U36)*SCORE_METHOD!$E$65</f>
        <v>1.4285714285714284</v>
      </c>
      <c r="AC36">
        <f>SUM(V36:Y36)*SCORE_METHOD!$E$72</f>
        <v>1.25</v>
      </c>
      <c r="AD36">
        <f>Z36*SCORE_METHOD!$C$44+data_SCORING!AA36*SCORE_METHOD!$C$45+data_SCORING!AB36*SCORE_METHOD!$C$46+data_SCORING!AC36*SCORE_METHOD!$C$47</f>
        <v>1.3196428571428571</v>
      </c>
    </row>
    <row r="37" spans="1:30" x14ac:dyDescent="0.25">
      <c r="A37" t="s">
        <v>65</v>
      </c>
      <c r="B37">
        <v>44.3952689889</v>
      </c>
      <c r="C37">
        <f>IF(data_CLEAN!C37&lt;=SCORE_METHOD!$B$7,SCORE_METHOD!$N$6,IF(data_CLEAN!C37&lt;=SCORE_METHOD!$B$8,SCORE_METHOD!$N$7,SCORE_METHOD!$N$8))</f>
        <v>2</v>
      </c>
      <c r="D37">
        <f>IF(data_CLEAN!D37&lt;=SCORE_METHOD!$C$7,SCORE_METHOD!$N$6,IF(data_CLEAN!D37&lt;=SCORE_METHOD!$C$8,SCORE_METHOD!$N$7,SCORE_METHOD!$N$8))</f>
        <v>2</v>
      </c>
      <c r="E37">
        <f>IF(data_CLEAN!E37&lt;=SCORE_METHOD!$D$7,SCORE_METHOD!$N$6,IF(data_CLEAN!E37&lt;=SCORE_METHOD!$D$8,SCORE_METHOD!$N$7,SCORE_METHOD!$N$8))</f>
        <v>1</v>
      </c>
      <c r="F37">
        <f>IF(data_CLEAN!F37&lt;=SCORE_METHOD!$E$7,SCORE_METHOD!$N$6,IF(data_CLEAN!F37&lt;=SCORE_METHOD!$E$8,SCORE_METHOD!$N$7,SCORE_METHOD!$N$8))</f>
        <v>1</v>
      </c>
      <c r="G37">
        <f>IF(data_CLEAN!G37&lt;=SCORE_METHOD!$F$7,SCORE_METHOD!$N$6,IF(data_CLEAN!G37&lt;=SCORE_METHOD!$F$8,SCORE_METHOD!$N$7,SCORE_METHOD!$N$8))</f>
        <v>1</v>
      </c>
      <c r="H37">
        <f>VLOOKUP(data_CLEAN!H37,SCORE_METHOD!$A$13:$B$15,2,FALSE)</f>
        <v>1</v>
      </c>
      <c r="I37">
        <f>VLOOKUP(data_CLEAN!I37,SCORE_METHOD!$A$13:$C$15,3,FALSE)</f>
        <v>1</v>
      </c>
      <c r="J37">
        <f>VLOOKUP(data_CLEAN!J37,SCORE_METHOD!$A$13:$D$15,4,FALSE)</f>
        <v>1</v>
      </c>
      <c r="K37">
        <f>VLOOKUP(data_CLEAN!K37,SCORE_METHOD!$A$13:$E$15,5,FALSE)</f>
        <v>1</v>
      </c>
      <c r="L37">
        <f>VLOOKUP(data_CLEAN!L37,SCORE_METHOD!$A$19:$B$21,2,FALSE)</f>
        <v>3</v>
      </c>
      <c r="M37">
        <f>IF(data_CLEAN!M37&lt;=SCORE_METHOD!$G$7,SCORE_METHOD!$N$6,IF(data_CLEAN!M37&lt;=SCORE_METHOD!$G$8,SCORE_METHOD!$N$7,SCORE_METHOD!$N$8))</f>
        <v>1</v>
      </c>
      <c r="N37">
        <f>IF(data_CLEAN!N37&lt;=SCORE_METHOD!$H$7,SCORE_METHOD!$N$6,IF(data_CLEAN!N37&lt;=SCORE_METHOD!$H$8,SCORE_METHOD!$N$7,SCORE_METHOD!$N$8))</f>
        <v>3</v>
      </c>
      <c r="O37">
        <f>VLOOKUP(data_CLEAN!O37,SCORE_METHOD!$A$25:$C$26,3,FALSE)</f>
        <v>1</v>
      </c>
      <c r="P37">
        <f>IF(data_CLEAN!P37&lt;=SCORE_METHOD!$I$7,SCORE_METHOD!$N$6,IF(data_CLEAN!P37&lt;=SCORE_METHOD!$I$8,SCORE_METHOD!$N$7,SCORE_METHOD!$N$8))</f>
        <v>3</v>
      </c>
      <c r="Q37">
        <f>IF(data_CLEAN!Q37&lt;=SCORE_METHOD!$B$31,SCORE_METHOD!$C$30,IF(data_CLEAN!Q37&lt;=SCORE_METHOD!$B$32,SCORE_METHOD!$C$31,SCORE_METHOD!$C$32))</f>
        <v>3</v>
      </c>
      <c r="R37">
        <f>IF(data_CLEAN!R37&lt;=SCORE_METHOD!$J$7,SCORE_METHOD!$N$6,IF(data_CLEAN!S37&lt;=SCORE_METHOD!$J$8,SCORE_METHOD!$N$7,SCORE_METHOD!$N$8))</f>
        <v>2</v>
      </c>
      <c r="S37">
        <f>IF(data_CLEAN!S37&lt;=SCORE_METHOD!$D$31,SCORE_METHOD!$E$30,IF(data_CLEAN!S37&lt;=SCORE_METHOD!$D$32,SCORE_METHOD!$E$31,SCORE_METHOD!$E$32))</f>
        <v>2</v>
      </c>
      <c r="T37">
        <f>VLOOKUP(data_CLEAN!T37,SCORE_METHOD!$A$25:$E$26,5,FALSE)</f>
        <v>0</v>
      </c>
      <c r="U37">
        <f>IF(data_CLEAN!U37=1,SCORE_METHOD!$B$37,SCORE_METHOD!$B$38)</f>
        <v>0</v>
      </c>
      <c r="V37">
        <f>IF(data_CLEAN!V37&lt;=SCORE_METHOD!$K$7,SCORE_METHOD!$N$6,IF(data_CLEAN!V37&lt;=SCORE_METHOD!$K$8,SCORE_METHOD!$N$7,SCORE_METHOD!$N$8))</f>
        <v>2</v>
      </c>
      <c r="W37">
        <f>IF(data_CLEAN!W37&lt;=SCORE_METHOD!$L$7,SCORE_METHOD!$N$6,IF(data_CLEAN!W37&lt;=SCORE_METHOD!$L$8,SCORE_METHOD!$N$7,SCORE_METHOD!$N$8))</f>
        <v>1</v>
      </c>
      <c r="X37">
        <f>IF(data_CLEAN!X37&lt;=SCORE_METHOD!$M$7,SCORE_METHOD!$N$6,IF(data_CLEAN!X37&lt;=SCORE_METHOD!$M$8,SCORE_METHOD!$N$7,SCORE_METHOD!$N$8))</f>
        <v>2</v>
      </c>
      <c r="Y37">
        <f>VLOOKUP(data_CLEAN!Y37,SCORE_METHOD!$A$13:$F$15,6,FALSE)</f>
        <v>1</v>
      </c>
      <c r="Z37">
        <f>SUM(C37:L37)*SCORE_METHOD!$E$53</f>
        <v>1.4000000000000001</v>
      </c>
      <c r="AA37">
        <f>SUM(M37:N37)*SCORE_METHOD!$E$63</f>
        <v>2</v>
      </c>
      <c r="AB37">
        <f>SUM(O37:U37)*SCORE_METHOD!$E$65</f>
        <v>1.5714285714285714</v>
      </c>
      <c r="AC37">
        <f>SUM(V37:Y37)*SCORE_METHOD!$E$72</f>
        <v>1.5</v>
      </c>
      <c r="AD37">
        <f>Z37*SCORE_METHOD!$C$44+data_SCORING!AA37*SCORE_METHOD!$C$45+data_SCORING!AB37*SCORE_METHOD!$C$46+data_SCORING!AC37*SCORE_METHOD!$C$47</f>
        <v>1.6178571428571429</v>
      </c>
    </row>
    <row r="38" spans="1:30" x14ac:dyDescent="0.25">
      <c r="A38" t="s">
        <v>66</v>
      </c>
      <c r="B38">
        <v>42.901241016900002</v>
      </c>
      <c r="C38">
        <f>IF(data_CLEAN!C38&lt;=SCORE_METHOD!$B$7,SCORE_METHOD!$N$6,IF(data_CLEAN!C38&lt;=SCORE_METHOD!$B$8,SCORE_METHOD!$N$7,SCORE_METHOD!$N$8))</f>
        <v>3</v>
      </c>
      <c r="D38">
        <f>IF(data_CLEAN!D38&lt;=SCORE_METHOD!$C$7,SCORE_METHOD!$N$6,IF(data_CLEAN!D38&lt;=SCORE_METHOD!$C$8,SCORE_METHOD!$N$7,SCORE_METHOD!$N$8))</f>
        <v>2</v>
      </c>
      <c r="E38">
        <f>IF(data_CLEAN!E38&lt;=SCORE_METHOD!$D$7,SCORE_METHOD!$N$6,IF(data_CLEAN!E38&lt;=SCORE_METHOD!$D$8,SCORE_METHOD!$N$7,SCORE_METHOD!$N$8))</f>
        <v>1</v>
      </c>
      <c r="F38">
        <f>IF(data_CLEAN!F38&lt;=SCORE_METHOD!$E$7,SCORE_METHOD!$N$6,IF(data_CLEAN!F38&lt;=SCORE_METHOD!$E$8,SCORE_METHOD!$N$7,SCORE_METHOD!$N$8))</f>
        <v>1</v>
      </c>
      <c r="G38">
        <f>IF(data_CLEAN!G38&lt;=SCORE_METHOD!$F$7,SCORE_METHOD!$N$6,IF(data_CLEAN!G38&lt;=SCORE_METHOD!$F$8,SCORE_METHOD!$N$7,SCORE_METHOD!$N$8))</f>
        <v>1</v>
      </c>
      <c r="H38">
        <f>VLOOKUP(data_CLEAN!H38,SCORE_METHOD!$A$13:$B$15,2,FALSE)</f>
        <v>1</v>
      </c>
      <c r="I38">
        <f>VLOOKUP(data_CLEAN!I38,SCORE_METHOD!$A$13:$C$15,3,FALSE)</f>
        <v>3</v>
      </c>
      <c r="J38">
        <f>VLOOKUP(data_CLEAN!J38,SCORE_METHOD!$A$13:$D$15,4,FALSE)</f>
        <v>1</v>
      </c>
      <c r="K38">
        <f>VLOOKUP(data_CLEAN!K38,SCORE_METHOD!$A$13:$E$15,5,FALSE)</f>
        <v>3</v>
      </c>
      <c r="L38">
        <f>VLOOKUP(data_CLEAN!L38,SCORE_METHOD!$A$19:$B$21,2,FALSE)</f>
        <v>2</v>
      </c>
      <c r="M38">
        <f>IF(data_CLEAN!M38&lt;=SCORE_METHOD!$G$7,SCORE_METHOD!$N$6,IF(data_CLEAN!M38&lt;=SCORE_METHOD!$G$8,SCORE_METHOD!$N$7,SCORE_METHOD!$N$8))</f>
        <v>1</v>
      </c>
      <c r="N38">
        <f>IF(data_CLEAN!N38&lt;=SCORE_METHOD!$H$7,SCORE_METHOD!$N$6,IF(data_CLEAN!N38&lt;=SCORE_METHOD!$H$8,SCORE_METHOD!$N$7,SCORE_METHOD!$N$8))</f>
        <v>2</v>
      </c>
      <c r="O38">
        <f>VLOOKUP(data_CLEAN!O38,SCORE_METHOD!$A$25:$C$26,3,FALSE)</f>
        <v>1</v>
      </c>
      <c r="P38">
        <f>IF(data_CLEAN!P38&lt;=SCORE_METHOD!$I$7,SCORE_METHOD!$N$6,IF(data_CLEAN!P38&lt;=SCORE_METHOD!$I$8,SCORE_METHOD!$N$7,SCORE_METHOD!$N$8))</f>
        <v>3</v>
      </c>
      <c r="Q38">
        <f>IF(data_CLEAN!Q38&lt;=SCORE_METHOD!$B$31,SCORE_METHOD!$C$30,IF(data_CLEAN!Q38&lt;=SCORE_METHOD!$B$32,SCORE_METHOD!$C$31,SCORE_METHOD!$C$32))</f>
        <v>1</v>
      </c>
      <c r="R38">
        <f>IF(data_CLEAN!R38&lt;=SCORE_METHOD!$J$7,SCORE_METHOD!$N$6,IF(data_CLEAN!S38&lt;=SCORE_METHOD!$J$8,SCORE_METHOD!$N$7,SCORE_METHOD!$N$8))</f>
        <v>2</v>
      </c>
      <c r="S38">
        <f>IF(data_CLEAN!S38&lt;=SCORE_METHOD!$D$31,SCORE_METHOD!$E$30,IF(data_CLEAN!S38&lt;=SCORE_METHOD!$D$32,SCORE_METHOD!$E$31,SCORE_METHOD!$E$32))</f>
        <v>3</v>
      </c>
      <c r="T38">
        <f>VLOOKUP(data_CLEAN!T38,SCORE_METHOD!$A$25:$E$26,5,FALSE)</f>
        <v>0</v>
      </c>
      <c r="U38">
        <f>IF(data_CLEAN!U38=1,SCORE_METHOD!$B$37,SCORE_METHOD!$B$38)</f>
        <v>0</v>
      </c>
      <c r="V38">
        <f>IF(data_CLEAN!V38&lt;=SCORE_METHOD!$K$7,SCORE_METHOD!$N$6,IF(data_CLEAN!V38&lt;=SCORE_METHOD!$K$8,SCORE_METHOD!$N$7,SCORE_METHOD!$N$8))</f>
        <v>2</v>
      </c>
      <c r="W38">
        <f>IF(data_CLEAN!W38&lt;=SCORE_METHOD!$L$7,SCORE_METHOD!$N$6,IF(data_CLEAN!W38&lt;=SCORE_METHOD!$L$8,SCORE_METHOD!$N$7,SCORE_METHOD!$N$8))</f>
        <v>1</v>
      </c>
      <c r="X38">
        <f>IF(data_CLEAN!X38&lt;=SCORE_METHOD!$M$7,SCORE_METHOD!$N$6,IF(data_CLEAN!X38&lt;=SCORE_METHOD!$M$8,SCORE_METHOD!$N$7,SCORE_METHOD!$N$8))</f>
        <v>2</v>
      </c>
      <c r="Y38">
        <f>VLOOKUP(data_CLEAN!Y38,SCORE_METHOD!$A$13:$F$15,6,FALSE)</f>
        <v>3</v>
      </c>
      <c r="Z38">
        <f>SUM(C38:L38)*SCORE_METHOD!$E$53</f>
        <v>1.8</v>
      </c>
      <c r="AA38">
        <f>SUM(M38:N38)*SCORE_METHOD!$E$63</f>
        <v>1.5</v>
      </c>
      <c r="AB38">
        <f>SUM(O38:U38)*SCORE_METHOD!$E$65</f>
        <v>1.4285714285714284</v>
      </c>
      <c r="AC38">
        <f>SUM(V38:Y38)*SCORE_METHOD!$E$72</f>
        <v>2</v>
      </c>
      <c r="AD38">
        <f>Z38*SCORE_METHOD!$C$44+data_SCORING!AA38*SCORE_METHOD!$C$45+data_SCORING!AB38*SCORE_METHOD!$C$46+data_SCORING!AC38*SCORE_METHOD!$C$47</f>
        <v>1.6821428571428569</v>
      </c>
    </row>
    <row r="39" spans="1:30" x14ac:dyDescent="0.25">
      <c r="A39" t="s">
        <v>67</v>
      </c>
      <c r="B39">
        <v>20.8341330292</v>
      </c>
      <c r="C39">
        <f>IF(data_CLEAN!C39&lt;=SCORE_METHOD!$B$7,SCORE_METHOD!$N$6,IF(data_CLEAN!C39&lt;=SCORE_METHOD!$B$8,SCORE_METHOD!$N$7,SCORE_METHOD!$N$8))</f>
        <v>2</v>
      </c>
      <c r="D39">
        <f>IF(data_CLEAN!D39&lt;=SCORE_METHOD!$C$7,SCORE_METHOD!$N$6,IF(data_CLEAN!D39&lt;=SCORE_METHOD!$C$8,SCORE_METHOD!$N$7,SCORE_METHOD!$N$8))</f>
        <v>1</v>
      </c>
      <c r="E39">
        <f>IF(data_CLEAN!E39&lt;=SCORE_METHOD!$D$7,SCORE_METHOD!$N$6,IF(data_CLEAN!E39&lt;=SCORE_METHOD!$D$8,SCORE_METHOD!$N$7,SCORE_METHOD!$N$8))</f>
        <v>3</v>
      </c>
      <c r="F39">
        <f>IF(data_CLEAN!F39&lt;=SCORE_METHOD!$E$7,SCORE_METHOD!$N$6,IF(data_CLEAN!F39&lt;=SCORE_METHOD!$E$8,SCORE_METHOD!$N$7,SCORE_METHOD!$N$8))</f>
        <v>3</v>
      </c>
      <c r="G39">
        <f>IF(data_CLEAN!G39&lt;=SCORE_METHOD!$F$7,SCORE_METHOD!$N$6,IF(data_CLEAN!G39&lt;=SCORE_METHOD!$F$8,SCORE_METHOD!$N$7,SCORE_METHOD!$N$8))</f>
        <v>3</v>
      </c>
      <c r="H39">
        <f>VLOOKUP(data_CLEAN!H39,SCORE_METHOD!$A$13:$B$15,2,FALSE)</f>
        <v>3</v>
      </c>
      <c r="I39">
        <f>VLOOKUP(data_CLEAN!I39,SCORE_METHOD!$A$13:$C$15,3,FALSE)</f>
        <v>3</v>
      </c>
      <c r="J39">
        <f>VLOOKUP(data_CLEAN!J39,SCORE_METHOD!$A$13:$D$15,4,FALSE)</f>
        <v>1</v>
      </c>
      <c r="K39">
        <f>VLOOKUP(data_CLEAN!K39,SCORE_METHOD!$A$13:$E$15,5,FALSE)</f>
        <v>3</v>
      </c>
      <c r="L39">
        <f>VLOOKUP(data_CLEAN!L39,SCORE_METHOD!$A$19:$B$21,2,FALSE)</f>
        <v>2</v>
      </c>
      <c r="M39">
        <f>IF(data_CLEAN!M39&lt;=SCORE_METHOD!$G$7,SCORE_METHOD!$N$6,IF(data_CLEAN!M39&lt;=SCORE_METHOD!$G$8,SCORE_METHOD!$N$7,SCORE_METHOD!$N$8))</f>
        <v>1</v>
      </c>
      <c r="N39">
        <f>IF(data_CLEAN!N39&lt;=SCORE_METHOD!$H$7,SCORE_METHOD!$N$6,IF(data_CLEAN!N39&lt;=SCORE_METHOD!$H$8,SCORE_METHOD!$N$7,SCORE_METHOD!$N$8))</f>
        <v>2</v>
      </c>
      <c r="O39">
        <f>VLOOKUP(data_CLEAN!O39,SCORE_METHOD!$A$25:$C$26,3,FALSE)</f>
        <v>1</v>
      </c>
      <c r="P39">
        <f>IF(data_CLEAN!P39&lt;=SCORE_METHOD!$I$7,SCORE_METHOD!$N$6,IF(data_CLEAN!P39&lt;=SCORE_METHOD!$I$8,SCORE_METHOD!$N$7,SCORE_METHOD!$N$8))</f>
        <v>2</v>
      </c>
      <c r="Q39">
        <f>IF(data_CLEAN!Q39&lt;=SCORE_METHOD!$B$31,SCORE_METHOD!$C$30,IF(data_CLEAN!Q39&lt;=SCORE_METHOD!$B$32,SCORE_METHOD!$C$31,SCORE_METHOD!$C$32))</f>
        <v>1</v>
      </c>
      <c r="R39">
        <f>IF(data_CLEAN!R39&lt;=SCORE_METHOD!$J$7,SCORE_METHOD!$N$6,IF(data_CLEAN!S39&lt;=SCORE_METHOD!$J$8,SCORE_METHOD!$N$7,SCORE_METHOD!$N$8))</f>
        <v>1</v>
      </c>
      <c r="S39">
        <f>IF(data_CLEAN!S39&lt;=SCORE_METHOD!$D$31,SCORE_METHOD!$E$30,IF(data_CLEAN!S39&lt;=SCORE_METHOD!$D$32,SCORE_METHOD!$E$31,SCORE_METHOD!$E$32))</f>
        <v>1</v>
      </c>
      <c r="T39">
        <f>VLOOKUP(data_CLEAN!T39,SCORE_METHOD!$A$25:$E$26,5,FALSE)</f>
        <v>0</v>
      </c>
      <c r="U39">
        <f>IF(data_CLEAN!U39=1,SCORE_METHOD!$B$37,SCORE_METHOD!$B$38)</f>
        <v>1</v>
      </c>
      <c r="V39">
        <f>IF(data_CLEAN!V39&lt;=SCORE_METHOD!$K$7,SCORE_METHOD!$N$6,IF(data_CLEAN!V39&lt;=SCORE_METHOD!$K$8,SCORE_METHOD!$N$7,SCORE_METHOD!$N$8))</f>
        <v>2</v>
      </c>
      <c r="W39">
        <f>IF(data_CLEAN!W39&lt;=SCORE_METHOD!$L$7,SCORE_METHOD!$N$6,IF(data_CLEAN!W39&lt;=SCORE_METHOD!$L$8,SCORE_METHOD!$N$7,SCORE_METHOD!$N$8))</f>
        <v>2</v>
      </c>
      <c r="X39">
        <f>IF(data_CLEAN!X39&lt;=SCORE_METHOD!$M$7,SCORE_METHOD!$N$6,IF(data_CLEAN!X39&lt;=SCORE_METHOD!$M$8,SCORE_METHOD!$N$7,SCORE_METHOD!$N$8))</f>
        <v>2</v>
      </c>
      <c r="Y39">
        <f>VLOOKUP(data_CLEAN!Y39,SCORE_METHOD!$A$13:$F$15,6,FALSE)</f>
        <v>2</v>
      </c>
      <c r="Z39">
        <f>SUM(C39:L39)*SCORE_METHOD!$E$53</f>
        <v>2.4000000000000004</v>
      </c>
      <c r="AA39">
        <f>SUM(M39:N39)*SCORE_METHOD!$E$63</f>
        <v>1.5</v>
      </c>
      <c r="AB39">
        <f>SUM(O39:U39)*SCORE_METHOD!$E$65</f>
        <v>1</v>
      </c>
      <c r="AC39">
        <f>SUM(V39:Y39)*SCORE_METHOD!$E$72</f>
        <v>2</v>
      </c>
      <c r="AD39">
        <f>Z39*SCORE_METHOD!$C$44+data_SCORING!AA39*SCORE_METHOD!$C$45+data_SCORING!AB39*SCORE_METHOD!$C$46+data_SCORING!AC39*SCORE_METHOD!$C$47</f>
        <v>1.7250000000000001</v>
      </c>
    </row>
    <row r="40" spans="1:30" x14ac:dyDescent="0.25">
      <c r="A40" t="s">
        <v>68</v>
      </c>
      <c r="B40">
        <v>12.0349357255</v>
      </c>
      <c r="C40">
        <f>IF(data_CLEAN!C40&lt;=SCORE_METHOD!$B$7,SCORE_METHOD!$N$6,IF(data_CLEAN!C40&lt;=SCORE_METHOD!$B$8,SCORE_METHOD!$N$7,SCORE_METHOD!$N$8))</f>
        <v>1</v>
      </c>
      <c r="D40">
        <f>IF(data_CLEAN!D40&lt;=SCORE_METHOD!$C$7,SCORE_METHOD!$N$6,IF(data_CLEAN!D40&lt;=SCORE_METHOD!$C$8,SCORE_METHOD!$N$7,SCORE_METHOD!$N$8))</f>
        <v>1</v>
      </c>
      <c r="E40">
        <f>IF(data_CLEAN!E40&lt;=SCORE_METHOD!$D$7,SCORE_METHOD!$N$6,IF(data_CLEAN!E40&lt;=SCORE_METHOD!$D$8,SCORE_METHOD!$N$7,SCORE_METHOD!$N$8))</f>
        <v>2</v>
      </c>
      <c r="F40">
        <f>IF(data_CLEAN!F40&lt;=SCORE_METHOD!$E$7,SCORE_METHOD!$N$6,IF(data_CLEAN!F40&lt;=SCORE_METHOD!$E$8,SCORE_METHOD!$N$7,SCORE_METHOD!$N$8))</f>
        <v>3</v>
      </c>
      <c r="G40">
        <f>IF(data_CLEAN!G40&lt;=SCORE_METHOD!$F$7,SCORE_METHOD!$N$6,IF(data_CLEAN!G40&lt;=SCORE_METHOD!$F$8,SCORE_METHOD!$N$7,SCORE_METHOD!$N$8))</f>
        <v>3</v>
      </c>
      <c r="H40">
        <f>VLOOKUP(data_CLEAN!H40,SCORE_METHOD!$A$13:$B$15,2,FALSE)</f>
        <v>1</v>
      </c>
      <c r="I40">
        <f>VLOOKUP(data_CLEAN!I40,SCORE_METHOD!$A$13:$C$15,3,FALSE)</f>
        <v>1</v>
      </c>
      <c r="J40">
        <f>VLOOKUP(data_CLEAN!J40,SCORE_METHOD!$A$13:$D$15,4,FALSE)</f>
        <v>1</v>
      </c>
      <c r="K40">
        <f>VLOOKUP(data_CLEAN!K40,SCORE_METHOD!$A$13:$E$15,5,FALSE)</f>
        <v>1</v>
      </c>
      <c r="L40">
        <f>VLOOKUP(data_CLEAN!L40,SCORE_METHOD!$A$19:$B$21,2,FALSE)</f>
        <v>2</v>
      </c>
      <c r="M40">
        <f>IF(data_CLEAN!M40&lt;=SCORE_METHOD!$G$7,SCORE_METHOD!$N$6,IF(data_CLEAN!M40&lt;=SCORE_METHOD!$G$8,SCORE_METHOD!$N$7,SCORE_METHOD!$N$8))</f>
        <v>1</v>
      </c>
      <c r="N40">
        <f>IF(data_CLEAN!N40&lt;=SCORE_METHOD!$H$7,SCORE_METHOD!$N$6,IF(data_CLEAN!N40&lt;=SCORE_METHOD!$H$8,SCORE_METHOD!$N$7,SCORE_METHOD!$N$8))</f>
        <v>1</v>
      </c>
      <c r="O40">
        <f>VLOOKUP(data_CLEAN!O40,SCORE_METHOD!$A$25:$C$26,3,FALSE)</f>
        <v>1</v>
      </c>
      <c r="P40">
        <f>IF(data_CLEAN!P40&lt;=SCORE_METHOD!$I$7,SCORE_METHOD!$N$6,IF(data_CLEAN!P40&lt;=SCORE_METHOD!$I$8,SCORE_METHOD!$N$7,SCORE_METHOD!$N$8))</f>
        <v>2</v>
      </c>
      <c r="Q40">
        <f>IF(data_CLEAN!Q40&lt;=SCORE_METHOD!$B$31,SCORE_METHOD!$C$30,IF(data_CLEAN!Q40&lt;=SCORE_METHOD!$B$32,SCORE_METHOD!$C$31,SCORE_METHOD!$C$32))</f>
        <v>1</v>
      </c>
      <c r="R40">
        <f>IF(data_CLEAN!R40&lt;=SCORE_METHOD!$J$7,SCORE_METHOD!$N$6,IF(data_CLEAN!S40&lt;=SCORE_METHOD!$J$8,SCORE_METHOD!$N$7,SCORE_METHOD!$N$8))</f>
        <v>1</v>
      </c>
      <c r="S40">
        <f>IF(data_CLEAN!S40&lt;=SCORE_METHOD!$D$31,SCORE_METHOD!$E$30,IF(data_CLEAN!S40&lt;=SCORE_METHOD!$D$32,SCORE_METHOD!$E$31,SCORE_METHOD!$E$32))</f>
        <v>1</v>
      </c>
      <c r="T40">
        <f>VLOOKUP(data_CLEAN!T40,SCORE_METHOD!$A$25:$E$26,5,FALSE)</f>
        <v>0</v>
      </c>
      <c r="U40">
        <f>IF(data_CLEAN!U40=1,SCORE_METHOD!$B$37,SCORE_METHOD!$B$38)</f>
        <v>1</v>
      </c>
      <c r="V40">
        <f>IF(data_CLEAN!V40&lt;=SCORE_METHOD!$K$7,SCORE_METHOD!$N$6,IF(data_CLEAN!V40&lt;=SCORE_METHOD!$K$8,SCORE_METHOD!$N$7,SCORE_METHOD!$N$8))</f>
        <v>1</v>
      </c>
      <c r="W40">
        <f>IF(data_CLEAN!W40&lt;=SCORE_METHOD!$L$7,SCORE_METHOD!$N$6,IF(data_CLEAN!W40&lt;=SCORE_METHOD!$L$8,SCORE_METHOD!$N$7,SCORE_METHOD!$N$8))</f>
        <v>1</v>
      </c>
      <c r="X40">
        <f>IF(data_CLEAN!X40&lt;=SCORE_METHOD!$M$7,SCORE_METHOD!$N$6,IF(data_CLEAN!X40&lt;=SCORE_METHOD!$M$8,SCORE_METHOD!$N$7,SCORE_METHOD!$N$8))</f>
        <v>1</v>
      </c>
      <c r="Y40">
        <f>VLOOKUP(data_CLEAN!Y40,SCORE_METHOD!$A$13:$F$15,6,FALSE)</f>
        <v>2</v>
      </c>
      <c r="Z40">
        <f>SUM(C40:L40)*SCORE_METHOD!$E$53</f>
        <v>1.6</v>
      </c>
      <c r="AA40">
        <f>SUM(M40:N40)*SCORE_METHOD!$E$63</f>
        <v>1</v>
      </c>
      <c r="AB40">
        <f>SUM(O40:U40)*SCORE_METHOD!$E$65</f>
        <v>1</v>
      </c>
      <c r="AC40">
        <f>SUM(V40:Y40)*SCORE_METHOD!$E$72</f>
        <v>1.25</v>
      </c>
      <c r="AD40">
        <f>Z40*SCORE_METHOD!$C$44+data_SCORING!AA40*SCORE_METHOD!$C$45+data_SCORING!AB40*SCORE_METHOD!$C$46+data_SCORING!AC40*SCORE_METHOD!$C$47</f>
        <v>1.2124999999999999</v>
      </c>
    </row>
    <row r="41" spans="1:30" s="2" customFormat="1" x14ac:dyDescent="0.25">
      <c r="A41" s="2" t="s">
        <v>69</v>
      </c>
      <c r="B41" s="2">
        <v>16.0307517201</v>
      </c>
      <c r="C41">
        <f>IF(data_CLEAN!C41&lt;=SCORE_METHOD!$B$7,SCORE_METHOD!$N$6,IF(data_CLEAN!C41&lt;=SCORE_METHOD!$B$8,SCORE_METHOD!$N$7,SCORE_METHOD!$N$8))</f>
        <v>1</v>
      </c>
      <c r="D41">
        <f>IF(data_CLEAN!D41&lt;=SCORE_METHOD!$C$7,SCORE_METHOD!$N$6,IF(data_CLEAN!D41&lt;=SCORE_METHOD!$C$8,SCORE_METHOD!$N$7,SCORE_METHOD!$N$8))</f>
        <v>1</v>
      </c>
      <c r="E41">
        <f>IF(data_CLEAN!E41&lt;=SCORE_METHOD!$D$7,SCORE_METHOD!$N$6,IF(data_CLEAN!E41&lt;=SCORE_METHOD!$D$8,SCORE_METHOD!$N$7,SCORE_METHOD!$N$8))</f>
        <v>1</v>
      </c>
      <c r="F41">
        <f>IF(data_CLEAN!F41&lt;=SCORE_METHOD!$E$7,SCORE_METHOD!$N$6,IF(data_CLEAN!F41&lt;=SCORE_METHOD!$E$8,SCORE_METHOD!$N$7,SCORE_METHOD!$N$8))</f>
        <v>1</v>
      </c>
      <c r="G41">
        <f>IF(data_CLEAN!G41&lt;=SCORE_METHOD!$F$7,SCORE_METHOD!$N$6,IF(data_CLEAN!G41&lt;=SCORE_METHOD!$F$8,SCORE_METHOD!$N$7,SCORE_METHOD!$N$8))</f>
        <v>1</v>
      </c>
      <c r="H41">
        <f>VLOOKUP(data_CLEAN!H41,SCORE_METHOD!$A$13:$B$15,2,FALSE)</f>
        <v>2</v>
      </c>
      <c r="I41">
        <f>VLOOKUP(data_CLEAN!I41,SCORE_METHOD!$A$13:$C$15,3,FALSE)</f>
        <v>2</v>
      </c>
      <c r="J41">
        <f>VLOOKUP(data_CLEAN!J41,SCORE_METHOD!$A$13:$D$15,4,FALSE)</f>
        <v>1</v>
      </c>
      <c r="K41">
        <f>VLOOKUP(data_CLEAN!K41,SCORE_METHOD!$A$13:$E$15,5,FALSE)</f>
        <v>1</v>
      </c>
      <c r="L41">
        <f>VLOOKUP(data_CLEAN!L41,SCORE_METHOD!$A$19:$B$21,2,FALSE)</f>
        <v>3</v>
      </c>
      <c r="M41">
        <f>IF(data_CLEAN!M41&lt;=SCORE_METHOD!$G$7,SCORE_METHOD!$N$6,IF(data_CLEAN!M41&lt;=SCORE_METHOD!$G$8,SCORE_METHOD!$N$7,SCORE_METHOD!$N$8))</f>
        <v>2</v>
      </c>
      <c r="N41">
        <f>IF(data_CLEAN!N41&lt;=SCORE_METHOD!$H$7,SCORE_METHOD!$N$6,IF(data_CLEAN!N41&lt;=SCORE_METHOD!$H$8,SCORE_METHOD!$N$7,SCORE_METHOD!$N$8))</f>
        <v>1</v>
      </c>
      <c r="O41">
        <f>VLOOKUP(data_CLEAN!O41,SCORE_METHOD!$A$25:$C$26,3,FALSE)</f>
        <v>1</v>
      </c>
      <c r="P41">
        <f>IF(data_CLEAN!P41&lt;=SCORE_METHOD!$I$7,SCORE_METHOD!$N$6,IF(data_CLEAN!P41&lt;=SCORE_METHOD!$I$8,SCORE_METHOD!$N$7,SCORE_METHOD!$N$8))</f>
        <v>1</v>
      </c>
      <c r="Q41">
        <f>IF(data_CLEAN!Q41&lt;=SCORE_METHOD!$B$31,SCORE_METHOD!$C$30,IF(data_CLEAN!Q41&lt;=SCORE_METHOD!$B$32,SCORE_METHOD!$C$31,SCORE_METHOD!$C$32))</f>
        <v>3</v>
      </c>
      <c r="R41">
        <f>IF(data_CLEAN!R41&lt;=SCORE_METHOD!$J$7,SCORE_METHOD!$N$6,IF(data_CLEAN!S41&lt;=SCORE_METHOD!$J$8,SCORE_METHOD!$N$7,SCORE_METHOD!$N$8))</f>
        <v>1</v>
      </c>
      <c r="S41">
        <f>IF(data_CLEAN!S41&lt;=SCORE_METHOD!$D$31,SCORE_METHOD!$E$30,IF(data_CLEAN!S41&lt;=SCORE_METHOD!$D$32,SCORE_METHOD!$E$31,SCORE_METHOD!$E$32))</f>
        <v>3</v>
      </c>
      <c r="T41">
        <f>VLOOKUP(data_CLEAN!T41,SCORE_METHOD!$A$25:$E$26,5,FALSE)</f>
        <v>0</v>
      </c>
      <c r="U41">
        <f>IF(data_CLEAN!U41=1,SCORE_METHOD!$B$37,SCORE_METHOD!$B$38)</f>
        <v>1</v>
      </c>
      <c r="V41">
        <f>IF(data_CLEAN!V41&lt;=SCORE_METHOD!$K$7,SCORE_METHOD!$N$6,IF(data_CLEAN!V41&lt;=SCORE_METHOD!$K$8,SCORE_METHOD!$N$7,SCORE_METHOD!$N$8))</f>
        <v>2</v>
      </c>
      <c r="W41">
        <f>IF(data_CLEAN!W41&lt;=SCORE_METHOD!$L$7,SCORE_METHOD!$N$6,IF(data_CLEAN!W41&lt;=SCORE_METHOD!$L$8,SCORE_METHOD!$N$7,SCORE_METHOD!$N$8))</f>
        <v>2</v>
      </c>
      <c r="X41">
        <f>IF(data_CLEAN!X41&lt;=SCORE_METHOD!$M$7,SCORE_METHOD!$N$6,IF(data_CLEAN!X41&lt;=SCORE_METHOD!$M$8,SCORE_METHOD!$N$7,SCORE_METHOD!$N$8))</f>
        <v>1</v>
      </c>
      <c r="Y41">
        <f>VLOOKUP(data_CLEAN!Y41,SCORE_METHOD!$A$13:$F$15,6,FALSE)</f>
        <v>2</v>
      </c>
      <c r="Z41">
        <f>SUM(C41:L41)*SCORE_METHOD!$E$53</f>
        <v>1.4000000000000001</v>
      </c>
      <c r="AA41">
        <f>SUM(M41:N41)*SCORE_METHOD!$E$63</f>
        <v>1.5</v>
      </c>
      <c r="AB41">
        <f>SUM(O41:U41)*SCORE_METHOD!$E$65</f>
        <v>1.4285714285714284</v>
      </c>
      <c r="AC41">
        <f>SUM(V41:Y41)*SCORE_METHOD!$E$72</f>
        <v>1.75</v>
      </c>
      <c r="AD41">
        <f>Z41*SCORE_METHOD!$C$44+data_SCORING!AA41*SCORE_METHOD!$C$45+data_SCORING!AB41*SCORE_METHOD!$C$46+data_SCORING!AC41*SCORE_METHOD!$C$47</f>
        <v>1.5196428571428573</v>
      </c>
    </row>
    <row r="42" spans="1:30" x14ac:dyDescent="0.25">
      <c r="A42" t="s">
        <v>70</v>
      </c>
      <c r="B42">
        <v>6.5691873898299997</v>
      </c>
      <c r="C42">
        <f>IF(data_CLEAN!C42&lt;=SCORE_METHOD!$B$7,SCORE_METHOD!$N$6,IF(data_CLEAN!C42&lt;=SCORE_METHOD!$B$8,SCORE_METHOD!$N$7,SCORE_METHOD!$N$8))</f>
        <v>1</v>
      </c>
      <c r="D42">
        <f>IF(data_CLEAN!D42&lt;=SCORE_METHOD!$C$7,SCORE_METHOD!$N$6,IF(data_CLEAN!D42&lt;=SCORE_METHOD!$C$8,SCORE_METHOD!$N$7,SCORE_METHOD!$N$8))</f>
        <v>1</v>
      </c>
      <c r="E42">
        <f>IF(data_CLEAN!E42&lt;=SCORE_METHOD!$D$7,SCORE_METHOD!$N$6,IF(data_CLEAN!E42&lt;=SCORE_METHOD!$D$8,SCORE_METHOD!$N$7,SCORE_METHOD!$N$8))</f>
        <v>1</v>
      </c>
      <c r="F42">
        <f>IF(data_CLEAN!F42&lt;=SCORE_METHOD!$E$7,SCORE_METHOD!$N$6,IF(data_CLEAN!F42&lt;=SCORE_METHOD!$E$8,SCORE_METHOD!$N$7,SCORE_METHOD!$N$8))</f>
        <v>1</v>
      </c>
      <c r="G42">
        <f>IF(data_CLEAN!G42&lt;=SCORE_METHOD!$F$7,SCORE_METHOD!$N$6,IF(data_CLEAN!G42&lt;=SCORE_METHOD!$F$8,SCORE_METHOD!$N$7,SCORE_METHOD!$N$8))</f>
        <v>1</v>
      </c>
      <c r="H42">
        <f>VLOOKUP(data_CLEAN!H42,SCORE_METHOD!$A$13:$B$15,2,FALSE)</f>
        <v>2</v>
      </c>
      <c r="I42">
        <f>VLOOKUP(data_CLEAN!I42,SCORE_METHOD!$A$13:$C$15,3,FALSE)</f>
        <v>2</v>
      </c>
      <c r="J42">
        <f>VLOOKUP(data_CLEAN!J42,SCORE_METHOD!$A$13:$D$15,4,FALSE)</f>
        <v>1</v>
      </c>
      <c r="K42">
        <f>VLOOKUP(data_CLEAN!K42,SCORE_METHOD!$A$13:$E$15,5,FALSE)</f>
        <v>1</v>
      </c>
      <c r="L42">
        <f>VLOOKUP(data_CLEAN!L42,SCORE_METHOD!$A$19:$B$21,2,FALSE)</f>
        <v>1</v>
      </c>
      <c r="M42">
        <f>IF(data_CLEAN!M42&lt;=SCORE_METHOD!$G$7,SCORE_METHOD!$N$6,IF(data_CLEAN!M42&lt;=SCORE_METHOD!$G$8,SCORE_METHOD!$N$7,SCORE_METHOD!$N$8))</f>
        <v>3</v>
      </c>
      <c r="N42">
        <f>IF(data_CLEAN!N42&lt;=SCORE_METHOD!$H$7,SCORE_METHOD!$N$6,IF(data_CLEAN!N42&lt;=SCORE_METHOD!$H$8,SCORE_METHOD!$N$7,SCORE_METHOD!$N$8))</f>
        <v>1</v>
      </c>
      <c r="O42">
        <f>VLOOKUP(data_CLEAN!O42,SCORE_METHOD!$A$25:$C$26,3,FALSE)</f>
        <v>0</v>
      </c>
      <c r="P42">
        <f>IF(data_CLEAN!P42&lt;=SCORE_METHOD!$I$7,SCORE_METHOD!$N$6,IF(data_CLEAN!P42&lt;=SCORE_METHOD!$I$8,SCORE_METHOD!$N$7,SCORE_METHOD!$N$8))</f>
        <v>1</v>
      </c>
      <c r="Q42">
        <f>IF(data_CLEAN!Q42&lt;=SCORE_METHOD!$B$31,SCORE_METHOD!$C$30,IF(data_CLEAN!Q42&lt;=SCORE_METHOD!$B$32,SCORE_METHOD!$C$31,SCORE_METHOD!$C$32))</f>
        <v>3</v>
      </c>
      <c r="R42">
        <f>IF(data_CLEAN!R42&lt;=SCORE_METHOD!$J$7,SCORE_METHOD!$N$6,IF(data_CLEAN!S42&lt;=SCORE_METHOD!$J$8,SCORE_METHOD!$N$7,SCORE_METHOD!$N$8))</f>
        <v>2</v>
      </c>
      <c r="S42">
        <f>IF(data_CLEAN!S42&lt;=SCORE_METHOD!$D$31,SCORE_METHOD!$E$30,IF(data_CLEAN!S42&lt;=SCORE_METHOD!$D$32,SCORE_METHOD!$E$31,SCORE_METHOD!$E$32))</f>
        <v>3</v>
      </c>
      <c r="T42">
        <f>VLOOKUP(data_CLEAN!T42,SCORE_METHOD!$A$25:$E$26,5,FALSE)</f>
        <v>0</v>
      </c>
      <c r="U42">
        <f>IF(data_CLEAN!U42=1,SCORE_METHOD!$B$37,SCORE_METHOD!$B$38)</f>
        <v>1</v>
      </c>
      <c r="V42">
        <f>IF(data_CLEAN!V42&lt;=SCORE_METHOD!$K$7,SCORE_METHOD!$N$6,IF(data_CLEAN!V42&lt;=SCORE_METHOD!$K$8,SCORE_METHOD!$N$7,SCORE_METHOD!$N$8))</f>
        <v>1</v>
      </c>
      <c r="W42">
        <f>IF(data_CLEAN!W42&lt;=SCORE_METHOD!$L$7,SCORE_METHOD!$N$6,IF(data_CLEAN!W42&lt;=SCORE_METHOD!$L$8,SCORE_METHOD!$N$7,SCORE_METHOD!$N$8))</f>
        <v>2</v>
      </c>
      <c r="X42">
        <f>IF(data_CLEAN!X42&lt;=SCORE_METHOD!$M$7,SCORE_METHOD!$N$6,IF(data_CLEAN!X42&lt;=SCORE_METHOD!$M$8,SCORE_METHOD!$N$7,SCORE_METHOD!$N$8))</f>
        <v>1</v>
      </c>
      <c r="Y42">
        <f>VLOOKUP(data_CLEAN!Y42,SCORE_METHOD!$A$13:$F$15,6,FALSE)</f>
        <v>2</v>
      </c>
      <c r="Z42">
        <f>SUM(C42:L42)*SCORE_METHOD!$E$53</f>
        <v>1.2000000000000002</v>
      </c>
      <c r="AA42">
        <f>SUM(M42:N42)*SCORE_METHOD!$E$63</f>
        <v>2</v>
      </c>
      <c r="AB42">
        <f>SUM(O42:U42)*SCORE_METHOD!$E$65</f>
        <v>1.4285714285714284</v>
      </c>
      <c r="AC42">
        <f>SUM(V42:Y42)*SCORE_METHOD!$E$72</f>
        <v>1.5</v>
      </c>
      <c r="AD42">
        <f>Z42*SCORE_METHOD!$C$44+data_SCORING!AA42*SCORE_METHOD!$C$45+data_SCORING!AB42*SCORE_METHOD!$C$46+data_SCORING!AC42*SCORE_METHOD!$C$47</f>
        <v>1.532142857142857</v>
      </c>
    </row>
    <row r="43" spans="1:30" x14ac:dyDescent="0.25">
      <c r="A43" t="s">
        <v>71</v>
      </c>
      <c r="B43">
        <v>21.489188390100001</v>
      </c>
      <c r="C43">
        <f>IF(data_CLEAN!C43&lt;=SCORE_METHOD!$B$7,SCORE_METHOD!$N$6,IF(data_CLEAN!C43&lt;=SCORE_METHOD!$B$8,SCORE_METHOD!$N$7,SCORE_METHOD!$N$8))</f>
        <v>1</v>
      </c>
      <c r="D43">
        <f>IF(data_CLEAN!D43&lt;=SCORE_METHOD!$C$7,SCORE_METHOD!$N$6,IF(data_CLEAN!D43&lt;=SCORE_METHOD!$C$8,SCORE_METHOD!$N$7,SCORE_METHOD!$N$8))</f>
        <v>1</v>
      </c>
      <c r="E43">
        <f>IF(data_CLEAN!E43&lt;=SCORE_METHOD!$D$7,SCORE_METHOD!$N$6,IF(data_CLEAN!E43&lt;=SCORE_METHOD!$D$8,SCORE_METHOD!$N$7,SCORE_METHOD!$N$8))</f>
        <v>3</v>
      </c>
      <c r="F43">
        <f>IF(data_CLEAN!F43&lt;=SCORE_METHOD!$E$7,SCORE_METHOD!$N$6,IF(data_CLEAN!F43&lt;=SCORE_METHOD!$E$8,SCORE_METHOD!$N$7,SCORE_METHOD!$N$8))</f>
        <v>3</v>
      </c>
      <c r="G43">
        <f>IF(data_CLEAN!G43&lt;=SCORE_METHOD!$F$7,SCORE_METHOD!$N$6,IF(data_CLEAN!G43&lt;=SCORE_METHOD!$F$8,SCORE_METHOD!$N$7,SCORE_METHOD!$N$8))</f>
        <v>3</v>
      </c>
      <c r="H43">
        <f>VLOOKUP(data_CLEAN!H43,SCORE_METHOD!$A$13:$B$15,2,FALSE)</f>
        <v>1</v>
      </c>
      <c r="I43">
        <f>VLOOKUP(data_CLEAN!I43,SCORE_METHOD!$A$13:$C$15,3,FALSE)</f>
        <v>1</v>
      </c>
      <c r="J43">
        <f>VLOOKUP(data_CLEAN!J43,SCORE_METHOD!$A$13:$D$15,4,FALSE)</f>
        <v>1</v>
      </c>
      <c r="K43">
        <f>VLOOKUP(data_CLEAN!K43,SCORE_METHOD!$A$13:$E$15,5,FALSE)</f>
        <v>1</v>
      </c>
      <c r="L43">
        <f>VLOOKUP(data_CLEAN!L43,SCORE_METHOD!$A$19:$B$21,2,FALSE)</f>
        <v>2</v>
      </c>
      <c r="M43">
        <f>IF(data_CLEAN!M43&lt;=SCORE_METHOD!$G$7,SCORE_METHOD!$N$6,IF(data_CLEAN!M43&lt;=SCORE_METHOD!$G$8,SCORE_METHOD!$N$7,SCORE_METHOD!$N$8))</f>
        <v>3</v>
      </c>
      <c r="N43">
        <f>IF(data_CLEAN!N43&lt;=SCORE_METHOD!$H$7,SCORE_METHOD!$N$6,IF(data_CLEAN!N43&lt;=SCORE_METHOD!$H$8,SCORE_METHOD!$N$7,SCORE_METHOD!$N$8))</f>
        <v>1</v>
      </c>
      <c r="O43">
        <f>VLOOKUP(data_CLEAN!O43,SCORE_METHOD!$A$25:$C$26,3,FALSE)</f>
        <v>0</v>
      </c>
      <c r="P43">
        <f>IF(data_CLEAN!P43&lt;=SCORE_METHOD!$I$7,SCORE_METHOD!$N$6,IF(data_CLEAN!P43&lt;=SCORE_METHOD!$I$8,SCORE_METHOD!$N$7,SCORE_METHOD!$N$8))</f>
        <v>2</v>
      </c>
      <c r="Q43">
        <f>IF(data_CLEAN!Q43&lt;=SCORE_METHOD!$B$31,SCORE_METHOD!$C$30,IF(data_CLEAN!Q43&lt;=SCORE_METHOD!$B$32,SCORE_METHOD!$C$31,SCORE_METHOD!$C$32))</f>
        <v>1</v>
      </c>
      <c r="R43">
        <f>IF(data_CLEAN!R43&lt;=SCORE_METHOD!$J$7,SCORE_METHOD!$N$6,IF(data_CLEAN!S43&lt;=SCORE_METHOD!$J$8,SCORE_METHOD!$N$7,SCORE_METHOD!$N$8))</f>
        <v>1</v>
      </c>
      <c r="S43">
        <f>IF(data_CLEAN!S43&lt;=SCORE_METHOD!$D$31,SCORE_METHOD!$E$30,IF(data_CLEAN!S43&lt;=SCORE_METHOD!$D$32,SCORE_METHOD!$E$31,SCORE_METHOD!$E$32))</f>
        <v>2</v>
      </c>
      <c r="T43">
        <f>VLOOKUP(data_CLEAN!T43,SCORE_METHOD!$A$25:$E$26,5,FALSE)</f>
        <v>0</v>
      </c>
      <c r="U43">
        <f>IF(data_CLEAN!U43=1,SCORE_METHOD!$B$37,SCORE_METHOD!$B$38)</f>
        <v>1</v>
      </c>
      <c r="V43">
        <f>IF(data_CLEAN!V43&lt;=SCORE_METHOD!$K$7,SCORE_METHOD!$N$6,IF(data_CLEAN!V43&lt;=SCORE_METHOD!$K$8,SCORE_METHOD!$N$7,SCORE_METHOD!$N$8))</f>
        <v>1</v>
      </c>
      <c r="W43">
        <f>IF(data_CLEAN!W43&lt;=SCORE_METHOD!$L$7,SCORE_METHOD!$N$6,IF(data_CLEAN!W43&lt;=SCORE_METHOD!$L$8,SCORE_METHOD!$N$7,SCORE_METHOD!$N$8))</f>
        <v>2</v>
      </c>
      <c r="X43">
        <f>IF(data_CLEAN!X43&lt;=SCORE_METHOD!$M$7,SCORE_METHOD!$N$6,IF(data_CLEAN!X43&lt;=SCORE_METHOD!$M$8,SCORE_METHOD!$N$7,SCORE_METHOD!$N$8))</f>
        <v>1</v>
      </c>
      <c r="Y43">
        <f>VLOOKUP(data_CLEAN!Y43,SCORE_METHOD!$A$13:$F$15,6,FALSE)</f>
        <v>2</v>
      </c>
      <c r="Z43">
        <f>SUM(C43:L43)*SCORE_METHOD!$E$53</f>
        <v>1.7000000000000002</v>
      </c>
      <c r="AA43">
        <f>SUM(M43:N43)*SCORE_METHOD!$E$63</f>
        <v>2</v>
      </c>
      <c r="AB43">
        <f>SUM(O43:U43)*SCORE_METHOD!$E$65</f>
        <v>1</v>
      </c>
      <c r="AC43">
        <f>SUM(V43:Y43)*SCORE_METHOD!$E$72</f>
        <v>1.5</v>
      </c>
      <c r="AD43">
        <f>Z43*SCORE_METHOD!$C$44+data_SCORING!AA43*SCORE_METHOD!$C$45+data_SCORING!AB43*SCORE_METHOD!$C$46+data_SCORING!AC43*SCORE_METHOD!$C$47</f>
        <v>1.55</v>
      </c>
    </row>
    <row r="44" spans="1:30" x14ac:dyDescent="0.25">
      <c r="A44" t="s">
        <v>72</v>
      </c>
      <c r="B44">
        <v>97.960131788799899</v>
      </c>
      <c r="C44">
        <f>IF(data_CLEAN!C44&lt;=SCORE_METHOD!$B$7,SCORE_METHOD!$N$6,IF(data_CLEAN!C44&lt;=SCORE_METHOD!$B$8,SCORE_METHOD!$N$7,SCORE_METHOD!$N$8))</f>
        <v>2</v>
      </c>
      <c r="D44">
        <f>IF(data_CLEAN!D44&lt;=SCORE_METHOD!$C$7,SCORE_METHOD!$N$6,IF(data_CLEAN!D44&lt;=SCORE_METHOD!$C$8,SCORE_METHOD!$N$7,SCORE_METHOD!$N$8))</f>
        <v>2</v>
      </c>
      <c r="E44">
        <f>IF(data_CLEAN!E44&lt;=SCORE_METHOD!$D$7,SCORE_METHOD!$N$6,IF(data_CLEAN!E44&lt;=SCORE_METHOD!$D$8,SCORE_METHOD!$N$7,SCORE_METHOD!$N$8))</f>
        <v>3</v>
      </c>
      <c r="F44">
        <f>IF(data_CLEAN!F44&lt;=SCORE_METHOD!$E$7,SCORE_METHOD!$N$6,IF(data_CLEAN!F44&lt;=SCORE_METHOD!$E$8,SCORE_METHOD!$N$7,SCORE_METHOD!$N$8))</f>
        <v>3</v>
      </c>
      <c r="G44">
        <f>IF(data_CLEAN!G44&lt;=SCORE_METHOD!$F$7,SCORE_METHOD!$N$6,IF(data_CLEAN!G44&lt;=SCORE_METHOD!$F$8,SCORE_METHOD!$N$7,SCORE_METHOD!$N$8))</f>
        <v>3</v>
      </c>
      <c r="H44">
        <f>VLOOKUP(data_CLEAN!H44,SCORE_METHOD!$A$13:$B$15,2,FALSE)</f>
        <v>1</v>
      </c>
      <c r="I44">
        <f>VLOOKUP(data_CLEAN!I44,SCORE_METHOD!$A$13:$C$15,3,FALSE)</f>
        <v>3</v>
      </c>
      <c r="J44">
        <f>VLOOKUP(data_CLEAN!J44,SCORE_METHOD!$A$13:$D$15,4,FALSE)</f>
        <v>1</v>
      </c>
      <c r="K44">
        <f>VLOOKUP(data_CLEAN!K44,SCORE_METHOD!$A$13:$E$15,5,FALSE)</f>
        <v>3</v>
      </c>
      <c r="L44">
        <f>VLOOKUP(data_CLEAN!L44,SCORE_METHOD!$A$19:$B$21,2,FALSE)</f>
        <v>2</v>
      </c>
      <c r="M44">
        <f>IF(data_CLEAN!M44&lt;=SCORE_METHOD!$G$7,SCORE_METHOD!$N$6,IF(data_CLEAN!M44&lt;=SCORE_METHOD!$G$8,SCORE_METHOD!$N$7,SCORE_METHOD!$N$8))</f>
        <v>3</v>
      </c>
      <c r="N44">
        <f>IF(data_CLEAN!N44&lt;=SCORE_METHOD!$H$7,SCORE_METHOD!$N$6,IF(data_CLEAN!N44&lt;=SCORE_METHOD!$H$8,SCORE_METHOD!$N$7,SCORE_METHOD!$N$8))</f>
        <v>2</v>
      </c>
      <c r="O44">
        <f>VLOOKUP(data_CLEAN!O44,SCORE_METHOD!$A$25:$C$26,3,FALSE)</f>
        <v>1</v>
      </c>
      <c r="P44">
        <f>IF(data_CLEAN!P44&lt;=SCORE_METHOD!$I$7,SCORE_METHOD!$N$6,IF(data_CLEAN!P44&lt;=SCORE_METHOD!$I$8,SCORE_METHOD!$N$7,SCORE_METHOD!$N$8))</f>
        <v>1</v>
      </c>
      <c r="Q44">
        <f>IF(data_CLEAN!Q44&lt;=SCORE_METHOD!$B$31,SCORE_METHOD!$C$30,IF(data_CLEAN!Q44&lt;=SCORE_METHOD!$B$32,SCORE_METHOD!$C$31,SCORE_METHOD!$C$32))</f>
        <v>1</v>
      </c>
      <c r="R44">
        <f>IF(data_CLEAN!R44&lt;=SCORE_METHOD!$J$7,SCORE_METHOD!$N$6,IF(data_CLEAN!S44&lt;=SCORE_METHOD!$J$8,SCORE_METHOD!$N$7,SCORE_METHOD!$N$8))</f>
        <v>2</v>
      </c>
      <c r="S44">
        <f>IF(data_CLEAN!S44&lt;=SCORE_METHOD!$D$31,SCORE_METHOD!$E$30,IF(data_CLEAN!S44&lt;=SCORE_METHOD!$D$32,SCORE_METHOD!$E$31,SCORE_METHOD!$E$32))</f>
        <v>2</v>
      </c>
      <c r="T44">
        <f>VLOOKUP(data_CLEAN!T44,SCORE_METHOD!$A$25:$E$26,5,FALSE)</f>
        <v>1</v>
      </c>
      <c r="U44">
        <f>IF(data_CLEAN!U44=1,SCORE_METHOD!$B$37,SCORE_METHOD!$B$38)</f>
        <v>1</v>
      </c>
      <c r="V44">
        <f>IF(data_CLEAN!V44&lt;=SCORE_METHOD!$K$7,SCORE_METHOD!$N$6,IF(data_CLEAN!V44&lt;=SCORE_METHOD!$K$8,SCORE_METHOD!$N$7,SCORE_METHOD!$N$8))</f>
        <v>3</v>
      </c>
      <c r="W44">
        <f>IF(data_CLEAN!W44&lt;=SCORE_METHOD!$L$7,SCORE_METHOD!$N$6,IF(data_CLEAN!W44&lt;=SCORE_METHOD!$L$8,SCORE_METHOD!$N$7,SCORE_METHOD!$N$8))</f>
        <v>3</v>
      </c>
      <c r="X44">
        <f>IF(data_CLEAN!X44&lt;=SCORE_METHOD!$M$7,SCORE_METHOD!$N$6,IF(data_CLEAN!X44&lt;=SCORE_METHOD!$M$8,SCORE_METHOD!$N$7,SCORE_METHOD!$N$8))</f>
        <v>3</v>
      </c>
      <c r="Y44">
        <f>VLOOKUP(data_CLEAN!Y44,SCORE_METHOD!$A$13:$F$15,6,FALSE)</f>
        <v>2</v>
      </c>
      <c r="Z44">
        <f>SUM(C44:L44)*SCORE_METHOD!$E$53</f>
        <v>2.3000000000000003</v>
      </c>
      <c r="AA44">
        <f>SUM(M44:N44)*SCORE_METHOD!$E$63</f>
        <v>2.5</v>
      </c>
      <c r="AB44">
        <f>SUM(O44:U44)*SCORE_METHOD!$E$65</f>
        <v>1.2857142857142856</v>
      </c>
      <c r="AC44">
        <f>SUM(V44:Y44)*SCORE_METHOD!$E$72</f>
        <v>2.75</v>
      </c>
      <c r="AD44">
        <f>Z44*SCORE_METHOD!$C$44+data_SCORING!AA44*SCORE_METHOD!$C$45+data_SCORING!AB44*SCORE_METHOD!$C$46+data_SCORING!AC44*SCORE_METHOD!$C$47</f>
        <v>2.2089285714285714</v>
      </c>
    </row>
    <row r="45" spans="1:30" x14ac:dyDescent="0.25">
      <c r="A45" t="s">
        <v>73</v>
      </c>
      <c r="B45">
        <v>107.274382185999</v>
      </c>
      <c r="C45">
        <f>IF(data_CLEAN!C45&lt;=SCORE_METHOD!$B$7,SCORE_METHOD!$N$6,IF(data_CLEAN!C45&lt;=SCORE_METHOD!$B$8,SCORE_METHOD!$N$7,SCORE_METHOD!$N$8))</f>
        <v>3</v>
      </c>
      <c r="D45">
        <f>IF(data_CLEAN!D45&lt;=SCORE_METHOD!$C$7,SCORE_METHOD!$N$6,IF(data_CLEAN!D45&lt;=SCORE_METHOD!$C$8,SCORE_METHOD!$N$7,SCORE_METHOD!$N$8))</f>
        <v>3</v>
      </c>
      <c r="E45">
        <f>IF(data_CLEAN!E45&lt;=SCORE_METHOD!$D$7,SCORE_METHOD!$N$6,IF(data_CLEAN!E45&lt;=SCORE_METHOD!$D$8,SCORE_METHOD!$N$7,SCORE_METHOD!$N$8))</f>
        <v>2</v>
      </c>
      <c r="F45">
        <f>IF(data_CLEAN!F45&lt;=SCORE_METHOD!$E$7,SCORE_METHOD!$N$6,IF(data_CLEAN!F45&lt;=SCORE_METHOD!$E$8,SCORE_METHOD!$N$7,SCORE_METHOD!$N$8))</f>
        <v>2</v>
      </c>
      <c r="G45">
        <f>IF(data_CLEAN!G45&lt;=SCORE_METHOD!$F$7,SCORE_METHOD!$N$6,IF(data_CLEAN!G45&lt;=SCORE_METHOD!$F$8,SCORE_METHOD!$N$7,SCORE_METHOD!$N$8))</f>
        <v>3</v>
      </c>
      <c r="H45">
        <f>VLOOKUP(data_CLEAN!H45,SCORE_METHOD!$A$13:$B$15,2,FALSE)</f>
        <v>3</v>
      </c>
      <c r="I45">
        <f>VLOOKUP(data_CLEAN!I45,SCORE_METHOD!$A$13:$C$15,3,FALSE)</f>
        <v>1</v>
      </c>
      <c r="J45">
        <f>VLOOKUP(data_CLEAN!J45,SCORE_METHOD!$A$13:$D$15,4,FALSE)</f>
        <v>1</v>
      </c>
      <c r="K45">
        <f>VLOOKUP(data_CLEAN!K45,SCORE_METHOD!$A$13:$E$15,5,FALSE)</f>
        <v>1</v>
      </c>
      <c r="L45">
        <f>VLOOKUP(data_CLEAN!L45,SCORE_METHOD!$A$19:$B$21,2,FALSE)</f>
        <v>2</v>
      </c>
      <c r="M45">
        <f>IF(data_CLEAN!M45&lt;=SCORE_METHOD!$G$7,SCORE_METHOD!$N$6,IF(data_CLEAN!M45&lt;=SCORE_METHOD!$G$8,SCORE_METHOD!$N$7,SCORE_METHOD!$N$8))</f>
        <v>2</v>
      </c>
      <c r="N45">
        <f>IF(data_CLEAN!N45&lt;=SCORE_METHOD!$H$7,SCORE_METHOD!$N$6,IF(data_CLEAN!N45&lt;=SCORE_METHOD!$H$8,SCORE_METHOD!$N$7,SCORE_METHOD!$N$8))</f>
        <v>2</v>
      </c>
      <c r="O45">
        <f>VLOOKUP(data_CLEAN!O45,SCORE_METHOD!$A$25:$C$26,3,FALSE)</f>
        <v>0</v>
      </c>
      <c r="P45">
        <f>IF(data_CLEAN!P45&lt;=SCORE_METHOD!$I$7,SCORE_METHOD!$N$6,IF(data_CLEAN!P45&lt;=SCORE_METHOD!$I$8,SCORE_METHOD!$N$7,SCORE_METHOD!$N$8))</f>
        <v>1</v>
      </c>
      <c r="Q45">
        <f>IF(data_CLEAN!Q45&lt;=SCORE_METHOD!$B$31,SCORE_METHOD!$C$30,IF(data_CLEAN!Q45&lt;=SCORE_METHOD!$B$32,SCORE_METHOD!$C$31,SCORE_METHOD!$C$32))</f>
        <v>1</v>
      </c>
      <c r="R45">
        <f>IF(data_CLEAN!R45&lt;=SCORE_METHOD!$J$7,SCORE_METHOD!$N$6,IF(data_CLEAN!S45&lt;=SCORE_METHOD!$J$8,SCORE_METHOD!$N$7,SCORE_METHOD!$N$8))</f>
        <v>2</v>
      </c>
      <c r="S45">
        <f>IF(data_CLEAN!S45&lt;=SCORE_METHOD!$D$31,SCORE_METHOD!$E$30,IF(data_CLEAN!S45&lt;=SCORE_METHOD!$D$32,SCORE_METHOD!$E$31,SCORE_METHOD!$E$32))</f>
        <v>2</v>
      </c>
      <c r="T45">
        <f>VLOOKUP(data_CLEAN!T45,SCORE_METHOD!$A$25:$E$26,5,FALSE)</f>
        <v>0</v>
      </c>
      <c r="U45">
        <f>IF(data_CLEAN!U45=1,SCORE_METHOD!$B$37,SCORE_METHOD!$B$38)</f>
        <v>0</v>
      </c>
      <c r="V45">
        <f>IF(data_CLEAN!V45&lt;=SCORE_METHOD!$K$7,SCORE_METHOD!$N$6,IF(data_CLEAN!V45&lt;=SCORE_METHOD!$K$8,SCORE_METHOD!$N$7,SCORE_METHOD!$N$8))</f>
        <v>3</v>
      </c>
      <c r="W45">
        <f>IF(data_CLEAN!W45&lt;=SCORE_METHOD!$L$7,SCORE_METHOD!$N$6,IF(data_CLEAN!W45&lt;=SCORE_METHOD!$L$8,SCORE_METHOD!$N$7,SCORE_METHOD!$N$8))</f>
        <v>3</v>
      </c>
      <c r="X45">
        <f>IF(data_CLEAN!X45&lt;=SCORE_METHOD!$M$7,SCORE_METHOD!$N$6,IF(data_CLEAN!X45&lt;=SCORE_METHOD!$M$8,SCORE_METHOD!$N$7,SCORE_METHOD!$N$8))</f>
        <v>3</v>
      </c>
      <c r="Y45">
        <f>VLOOKUP(data_CLEAN!Y45,SCORE_METHOD!$A$13:$F$15,6,FALSE)</f>
        <v>1</v>
      </c>
      <c r="Z45">
        <f>SUM(C45:L45)*SCORE_METHOD!$E$53</f>
        <v>2.1</v>
      </c>
      <c r="AA45">
        <f>SUM(M45:N45)*SCORE_METHOD!$E$63</f>
        <v>2</v>
      </c>
      <c r="AB45">
        <f>SUM(O45:U45)*SCORE_METHOD!$E$65</f>
        <v>0.8571428571428571</v>
      </c>
      <c r="AC45">
        <f>SUM(V45:Y45)*SCORE_METHOD!$E$72</f>
        <v>2.5</v>
      </c>
      <c r="AD45">
        <f>Z45*SCORE_METHOD!$C$44+data_SCORING!AA45*SCORE_METHOD!$C$45+data_SCORING!AB45*SCORE_METHOD!$C$46+data_SCORING!AC45*SCORE_METHOD!$C$47</f>
        <v>1.8642857142857141</v>
      </c>
    </row>
    <row r="46" spans="1:30" x14ac:dyDescent="0.25">
      <c r="A46" t="s">
        <v>74</v>
      </c>
      <c r="B46">
        <v>114.62000684900001</v>
      </c>
      <c r="C46">
        <f>IF(data_CLEAN!C46&lt;=SCORE_METHOD!$B$7,SCORE_METHOD!$N$6,IF(data_CLEAN!C46&lt;=SCORE_METHOD!$B$8,SCORE_METHOD!$N$7,SCORE_METHOD!$N$8))</f>
        <v>2</v>
      </c>
      <c r="D46">
        <f>IF(data_CLEAN!D46&lt;=SCORE_METHOD!$C$7,SCORE_METHOD!$N$6,IF(data_CLEAN!D46&lt;=SCORE_METHOD!$C$8,SCORE_METHOD!$N$7,SCORE_METHOD!$N$8))</f>
        <v>2</v>
      </c>
      <c r="E46">
        <f>IF(data_CLEAN!E46&lt;=SCORE_METHOD!$D$7,SCORE_METHOD!$N$6,IF(data_CLEAN!E46&lt;=SCORE_METHOD!$D$8,SCORE_METHOD!$N$7,SCORE_METHOD!$N$8))</f>
        <v>3</v>
      </c>
      <c r="F46">
        <f>IF(data_CLEAN!F46&lt;=SCORE_METHOD!$E$7,SCORE_METHOD!$N$6,IF(data_CLEAN!F46&lt;=SCORE_METHOD!$E$8,SCORE_METHOD!$N$7,SCORE_METHOD!$N$8))</f>
        <v>3</v>
      </c>
      <c r="G46">
        <f>IF(data_CLEAN!G46&lt;=SCORE_METHOD!$F$7,SCORE_METHOD!$N$6,IF(data_CLEAN!G46&lt;=SCORE_METHOD!$F$8,SCORE_METHOD!$N$7,SCORE_METHOD!$N$8))</f>
        <v>3</v>
      </c>
      <c r="H46">
        <f>VLOOKUP(data_CLEAN!H46,SCORE_METHOD!$A$13:$B$15,2,FALSE)</f>
        <v>1</v>
      </c>
      <c r="I46">
        <f>VLOOKUP(data_CLEAN!I46,SCORE_METHOD!$A$13:$C$15,3,FALSE)</f>
        <v>3</v>
      </c>
      <c r="J46">
        <f>VLOOKUP(data_CLEAN!J46,SCORE_METHOD!$A$13:$D$15,4,FALSE)</f>
        <v>1</v>
      </c>
      <c r="K46">
        <f>VLOOKUP(data_CLEAN!K46,SCORE_METHOD!$A$13:$E$15,5,FALSE)</f>
        <v>3</v>
      </c>
      <c r="L46">
        <f>VLOOKUP(data_CLEAN!L46,SCORE_METHOD!$A$19:$B$21,2,FALSE)</f>
        <v>1</v>
      </c>
      <c r="M46">
        <f>IF(data_CLEAN!M46&lt;=SCORE_METHOD!$G$7,SCORE_METHOD!$N$6,IF(data_CLEAN!M46&lt;=SCORE_METHOD!$G$8,SCORE_METHOD!$N$7,SCORE_METHOD!$N$8))</f>
        <v>3</v>
      </c>
      <c r="N46">
        <f>IF(data_CLEAN!N46&lt;=SCORE_METHOD!$H$7,SCORE_METHOD!$N$6,IF(data_CLEAN!N46&lt;=SCORE_METHOD!$H$8,SCORE_METHOD!$N$7,SCORE_METHOD!$N$8))</f>
        <v>3</v>
      </c>
      <c r="O46">
        <f>VLOOKUP(data_CLEAN!O46,SCORE_METHOD!$A$25:$C$26,3,FALSE)</f>
        <v>0</v>
      </c>
      <c r="P46">
        <f>IF(data_CLEAN!P46&lt;=SCORE_METHOD!$I$7,SCORE_METHOD!$N$6,IF(data_CLEAN!P46&lt;=SCORE_METHOD!$I$8,SCORE_METHOD!$N$7,SCORE_METHOD!$N$8))</f>
        <v>1</v>
      </c>
      <c r="Q46">
        <f>IF(data_CLEAN!Q46&lt;=SCORE_METHOD!$B$31,SCORE_METHOD!$C$30,IF(data_CLEAN!Q46&lt;=SCORE_METHOD!$B$32,SCORE_METHOD!$C$31,SCORE_METHOD!$C$32))</f>
        <v>1</v>
      </c>
      <c r="R46">
        <f>IF(data_CLEAN!R46&lt;=SCORE_METHOD!$J$7,SCORE_METHOD!$N$6,IF(data_CLEAN!S46&lt;=SCORE_METHOD!$J$8,SCORE_METHOD!$N$7,SCORE_METHOD!$N$8))</f>
        <v>2</v>
      </c>
      <c r="S46">
        <f>IF(data_CLEAN!S46&lt;=SCORE_METHOD!$D$31,SCORE_METHOD!$E$30,IF(data_CLEAN!S46&lt;=SCORE_METHOD!$D$32,SCORE_METHOD!$E$31,SCORE_METHOD!$E$32))</f>
        <v>2</v>
      </c>
      <c r="T46">
        <f>VLOOKUP(data_CLEAN!T46,SCORE_METHOD!$A$25:$E$26,5,FALSE)</f>
        <v>0</v>
      </c>
      <c r="U46">
        <f>IF(data_CLEAN!U46=1,SCORE_METHOD!$B$37,SCORE_METHOD!$B$38)</f>
        <v>0</v>
      </c>
      <c r="V46">
        <f>IF(data_CLEAN!V46&lt;=SCORE_METHOD!$K$7,SCORE_METHOD!$N$6,IF(data_CLEAN!V46&lt;=SCORE_METHOD!$K$8,SCORE_METHOD!$N$7,SCORE_METHOD!$N$8))</f>
        <v>2</v>
      </c>
      <c r="W46">
        <f>IF(data_CLEAN!W46&lt;=SCORE_METHOD!$L$7,SCORE_METHOD!$N$6,IF(data_CLEAN!W46&lt;=SCORE_METHOD!$L$8,SCORE_METHOD!$N$7,SCORE_METHOD!$N$8))</f>
        <v>3</v>
      </c>
      <c r="X46">
        <f>IF(data_CLEAN!X46&lt;=SCORE_METHOD!$M$7,SCORE_METHOD!$N$6,IF(data_CLEAN!X46&lt;=SCORE_METHOD!$M$8,SCORE_METHOD!$N$7,SCORE_METHOD!$N$8))</f>
        <v>3</v>
      </c>
      <c r="Y46">
        <f>VLOOKUP(data_CLEAN!Y46,SCORE_METHOD!$A$13:$F$15,6,FALSE)</f>
        <v>3</v>
      </c>
      <c r="Z46">
        <f>SUM(C46:L46)*SCORE_METHOD!$E$53</f>
        <v>2.2000000000000002</v>
      </c>
      <c r="AA46">
        <f>SUM(M46:N46)*SCORE_METHOD!$E$63</f>
        <v>3</v>
      </c>
      <c r="AB46">
        <f>SUM(O46:U46)*SCORE_METHOD!$E$65</f>
        <v>0.8571428571428571</v>
      </c>
      <c r="AC46">
        <f>SUM(V46:Y46)*SCORE_METHOD!$E$72</f>
        <v>2.75</v>
      </c>
      <c r="AD46">
        <f>Z46*SCORE_METHOD!$C$44+data_SCORING!AA46*SCORE_METHOD!$C$45+data_SCORING!AB46*SCORE_METHOD!$C$46+data_SCORING!AC46*SCORE_METHOD!$C$47</f>
        <v>2.2017857142857142</v>
      </c>
    </row>
    <row r="47" spans="1:30" x14ac:dyDescent="0.25">
      <c r="A47" t="s">
        <v>75</v>
      </c>
      <c r="B47">
        <v>34.463288233299899</v>
      </c>
      <c r="C47">
        <f>IF(data_CLEAN!C47&lt;=SCORE_METHOD!$B$7,SCORE_METHOD!$N$6,IF(data_CLEAN!C47&lt;=SCORE_METHOD!$B$8,SCORE_METHOD!$N$7,SCORE_METHOD!$N$8))</f>
        <v>2</v>
      </c>
      <c r="D47">
        <f>IF(data_CLEAN!D47&lt;=SCORE_METHOD!$C$7,SCORE_METHOD!$N$6,IF(data_CLEAN!D47&lt;=SCORE_METHOD!$C$8,SCORE_METHOD!$N$7,SCORE_METHOD!$N$8))</f>
        <v>2</v>
      </c>
      <c r="E47">
        <f>IF(data_CLEAN!E47&lt;=SCORE_METHOD!$D$7,SCORE_METHOD!$N$6,IF(data_CLEAN!E47&lt;=SCORE_METHOD!$D$8,SCORE_METHOD!$N$7,SCORE_METHOD!$N$8))</f>
        <v>3</v>
      </c>
      <c r="F47">
        <f>IF(data_CLEAN!F47&lt;=SCORE_METHOD!$E$7,SCORE_METHOD!$N$6,IF(data_CLEAN!F47&lt;=SCORE_METHOD!$E$8,SCORE_METHOD!$N$7,SCORE_METHOD!$N$8))</f>
        <v>2</v>
      </c>
      <c r="G47">
        <f>IF(data_CLEAN!G47&lt;=SCORE_METHOD!$F$7,SCORE_METHOD!$N$6,IF(data_CLEAN!G47&lt;=SCORE_METHOD!$F$8,SCORE_METHOD!$N$7,SCORE_METHOD!$N$8))</f>
        <v>2</v>
      </c>
      <c r="H47">
        <f>VLOOKUP(data_CLEAN!H47,SCORE_METHOD!$A$13:$B$15,2,FALSE)</f>
        <v>3</v>
      </c>
      <c r="I47">
        <f>VLOOKUP(data_CLEAN!I47,SCORE_METHOD!$A$13:$C$15,3,FALSE)</f>
        <v>3</v>
      </c>
      <c r="J47">
        <f>VLOOKUP(data_CLEAN!J47,SCORE_METHOD!$A$13:$D$15,4,FALSE)</f>
        <v>1</v>
      </c>
      <c r="K47">
        <f>VLOOKUP(data_CLEAN!K47,SCORE_METHOD!$A$13:$E$15,5,FALSE)</f>
        <v>1</v>
      </c>
      <c r="L47">
        <f>VLOOKUP(data_CLEAN!L47,SCORE_METHOD!$A$19:$B$21,2,FALSE)</f>
        <v>1</v>
      </c>
      <c r="M47">
        <f>IF(data_CLEAN!M47&lt;=SCORE_METHOD!$G$7,SCORE_METHOD!$N$6,IF(data_CLEAN!M47&lt;=SCORE_METHOD!$G$8,SCORE_METHOD!$N$7,SCORE_METHOD!$N$8))</f>
        <v>2</v>
      </c>
      <c r="N47">
        <f>IF(data_CLEAN!N47&lt;=SCORE_METHOD!$H$7,SCORE_METHOD!$N$6,IF(data_CLEAN!N47&lt;=SCORE_METHOD!$H$8,SCORE_METHOD!$N$7,SCORE_METHOD!$N$8))</f>
        <v>3</v>
      </c>
      <c r="O47">
        <f>VLOOKUP(data_CLEAN!O47,SCORE_METHOD!$A$25:$C$26,3,FALSE)</f>
        <v>1</v>
      </c>
      <c r="P47">
        <f>IF(data_CLEAN!P47&lt;=SCORE_METHOD!$I$7,SCORE_METHOD!$N$6,IF(data_CLEAN!P47&lt;=SCORE_METHOD!$I$8,SCORE_METHOD!$N$7,SCORE_METHOD!$N$8))</f>
        <v>1</v>
      </c>
      <c r="Q47">
        <f>IF(data_CLEAN!Q47&lt;=SCORE_METHOD!$B$31,SCORE_METHOD!$C$30,IF(data_CLEAN!Q47&lt;=SCORE_METHOD!$B$32,SCORE_METHOD!$C$31,SCORE_METHOD!$C$32))</f>
        <v>2</v>
      </c>
      <c r="R47">
        <f>IF(data_CLEAN!R47&lt;=SCORE_METHOD!$J$7,SCORE_METHOD!$N$6,IF(data_CLEAN!S47&lt;=SCORE_METHOD!$J$8,SCORE_METHOD!$N$7,SCORE_METHOD!$N$8))</f>
        <v>2</v>
      </c>
      <c r="S47">
        <f>IF(data_CLEAN!S47&lt;=SCORE_METHOD!$D$31,SCORE_METHOD!$E$30,IF(data_CLEAN!S47&lt;=SCORE_METHOD!$D$32,SCORE_METHOD!$E$31,SCORE_METHOD!$E$32))</f>
        <v>1</v>
      </c>
      <c r="T47">
        <f>VLOOKUP(data_CLEAN!T47,SCORE_METHOD!$A$25:$E$26,5,FALSE)</f>
        <v>0</v>
      </c>
      <c r="U47">
        <f>IF(data_CLEAN!U47=1,SCORE_METHOD!$B$37,SCORE_METHOD!$B$38)</f>
        <v>1</v>
      </c>
      <c r="V47">
        <f>IF(data_CLEAN!V47&lt;=SCORE_METHOD!$K$7,SCORE_METHOD!$N$6,IF(data_CLEAN!V47&lt;=SCORE_METHOD!$K$8,SCORE_METHOD!$N$7,SCORE_METHOD!$N$8))</f>
        <v>2</v>
      </c>
      <c r="W47">
        <f>IF(data_CLEAN!W47&lt;=SCORE_METHOD!$L$7,SCORE_METHOD!$N$6,IF(data_CLEAN!W47&lt;=SCORE_METHOD!$L$8,SCORE_METHOD!$N$7,SCORE_METHOD!$N$8))</f>
        <v>2</v>
      </c>
      <c r="X47">
        <f>IF(data_CLEAN!X47&lt;=SCORE_METHOD!$M$7,SCORE_METHOD!$N$6,IF(data_CLEAN!X47&lt;=SCORE_METHOD!$M$8,SCORE_METHOD!$N$7,SCORE_METHOD!$N$8))</f>
        <v>2</v>
      </c>
      <c r="Y47">
        <f>VLOOKUP(data_CLEAN!Y47,SCORE_METHOD!$A$13:$F$15,6,FALSE)</f>
        <v>2</v>
      </c>
      <c r="Z47">
        <f>SUM(C47:L47)*SCORE_METHOD!$E$53</f>
        <v>2</v>
      </c>
      <c r="AA47">
        <f>SUM(M47:N47)*SCORE_METHOD!$E$63</f>
        <v>2.5</v>
      </c>
      <c r="AB47">
        <f>SUM(O47:U47)*SCORE_METHOD!$E$65</f>
        <v>1.1428571428571428</v>
      </c>
      <c r="AC47">
        <f>SUM(V47:Y47)*SCORE_METHOD!$E$72</f>
        <v>2</v>
      </c>
      <c r="AD47">
        <f>Z47*SCORE_METHOD!$C$44+data_SCORING!AA47*SCORE_METHOD!$C$45+data_SCORING!AB47*SCORE_METHOD!$C$46+data_SCORING!AC47*SCORE_METHOD!$C$47</f>
        <v>1.9107142857142856</v>
      </c>
    </row>
    <row r="48" spans="1:30" x14ac:dyDescent="0.25">
      <c r="A48" t="s">
        <v>76</v>
      </c>
      <c r="B48">
        <v>168.085317269</v>
      </c>
      <c r="C48">
        <f>IF(data_CLEAN!C48&lt;=SCORE_METHOD!$B$7,SCORE_METHOD!$N$6,IF(data_CLEAN!C48&lt;=SCORE_METHOD!$B$8,SCORE_METHOD!$N$7,SCORE_METHOD!$N$8))</f>
        <v>2</v>
      </c>
      <c r="D48">
        <f>IF(data_CLEAN!D48&lt;=SCORE_METHOD!$C$7,SCORE_METHOD!$N$6,IF(data_CLEAN!D48&lt;=SCORE_METHOD!$C$8,SCORE_METHOD!$N$7,SCORE_METHOD!$N$8))</f>
        <v>2</v>
      </c>
      <c r="E48">
        <f>IF(data_CLEAN!E48&lt;=SCORE_METHOD!$D$7,SCORE_METHOD!$N$6,IF(data_CLEAN!E48&lt;=SCORE_METHOD!$D$8,SCORE_METHOD!$N$7,SCORE_METHOD!$N$8))</f>
        <v>3</v>
      </c>
      <c r="F48">
        <f>IF(data_CLEAN!F48&lt;=SCORE_METHOD!$E$7,SCORE_METHOD!$N$6,IF(data_CLEAN!F48&lt;=SCORE_METHOD!$E$8,SCORE_METHOD!$N$7,SCORE_METHOD!$N$8))</f>
        <v>3</v>
      </c>
      <c r="G48">
        <f>IF(data_CLEAN!G48&lt;=SCORE_METHOD!$F$7,SCORE_METHOD!$N$6,IF(data_CLEAN!G48&lt;=SCORE_METHOD!$F$8,SCORE_METHOD!$N$7,SCORE_METHOD!$N$8))</f>
        <v>2</v>
      </c>
      <c r="H48">
        <f>VLOOKUP(data_CLEAN!H48,SCORE_METHOD!$A$13:$B$15,2,FALSE)</f>
        <v>3</v>
      </c>
      <c r="I48">
        <f>VLOOKUP(data_CLEAN!I48,SCORE_METHOD!$A$13:$C$15,3,FALSE)</f>
        <v>3</v>
      </c>
      <c r="J48">
        <f>VLOOKUP(data_CLEAN!J48,SCORE_METHOD!$A$13:$D$15,4,FALSE)</f>
        <v>1</v>
      </c>
      <c r="K48">
        <f>VLOOKUP(data_CLEAN!K48,SCORE_METHOD!$A$13:$E$15,5,FALSE)</f>
        <v>3</v>
      </c>
      <c r="L48">
        <f>VLOOKUP(data_CLEAN!L48,SCORE_METHOD!$A$19:$B$21,2,FALSE)</f>
        <v>1</v>
      </c>
      <c r="M48">
        <f>IF(data_CLEAN!M48&lt;=SCORE_METHOD!$G$7,SCORE_METHOD!$N$6,IF(data_CLEAN!M48&lt;=SCORE_METHOD!$G$8,SCORE_METHOD!$N$7,SCORE_METHOD!$N$8))</f>
        <v>1</v>
      </c>
      <c r="N48">
        <f>IF(data_CLEAN!N48&lt;=SCORE_METHOD!$H$7,SCORE_METHOD!$N$6,IF(data_CLEAN!N48&lt;=SCORE_METHOD!$H$8,SCORE_METHOD!$N$7,SCORE_METHOD!$N$8))</f>
        <v>3</v>
      </c>
      <c r="O48">
        <f>VLOOKUP(data_CLEAN!O48,SCORE_METHOD!$A$25:$C$26,3,FALSE)</f>
        <v>1</v>
      </c>
      <c r="P48">
        <f>IF(data_CLEAN!P48&lt;=SCORE_METHOD!$I$7,SCORE_METHOD!$N$6,IF(data_CLEAN!P48&lt;=SCORE_METHOD!$I$8,SCORE_METHOD!$N$7,SCORE_METHOD!$N$8))</f>
        <v>2</v>
      </c>
      <c r="Q48">
        <f>IF(data_CLEAN!Q48&lt;=SCORE_METHOD!$B$31,SCORE_METHOD!$C$30,IF(data_CLEAN!Q48&lt;=SCORE_METHOD!$B$32,SCORE_METHOD!$C$31,SCORE_METHOD!$C$32))</f>
        <v>2</v>
      </c>
      <c r="R48">
        <f>IF(data_CLEAN!R48&lt;=SCORE_METHOD!$J$7,SCORE_METHOD!$N$6,IF(data_CLEAN!S48&lt;=SCORE_METHOD!$J$8,SCORE_METHOD!$N$7,SCORE_METHOD!$N$8))</f>
        <v>2</v>
      </c>
      <c r="S48">
        <f>IF(data_CLEAN!S48&lt;=SCORE_METHOD!$D$31,SCORE_METHOD!$E$30,IF(data_CLEAN!S48&lt;=SCORE_METHOD!$D$32,SCORE_METHOD!$E$31,SCORE_METHOD!$E$32))</f>
        <v>2</v>
      </c>
      <c r="T48">
        <f>VLOOKUP(data_CLEAN!T48,SCORE_METHOD!$A$25:$E$26,5,FALSE)</f>
        <v>1</v>
      </c>
      <c r="U48">
        <f>IF(data_CLEAN!U48=1,SCORE_METHOD!$B$37,SCORE_METHOD!$B$38)</f>
        <v>1</v>
      </c>
      <c r="V48">
        <f>IF(data_CLEAN!V48&lt;=SCORE_METHOD!$K$7,SCORE_METHOD!$N$6,IF(data_CLEAN!V48&lt;=SCORE_METHOD!$K$8,SCORE_METHOD!$N$7,SCORE_METHOD!$N$8))</f>
        <v>1</v>
      </c>
      <c r="W48">
        <f>IF(data_CLEAN!W48&lt;=SCORE_METHOD!$L$7,SCORE_METHOD!$N$6,IF(data_CLEAN!W48&lt;=SCORE_METHOD!$L$8,SCORE_METHOD!$N$7,SCORE_METHOD!$N$8))</f>
        <v>2</v>
      </c>
      <c r="X48">
        <f>IF(data_CLEAN!X48&lt;=SCORE_METHOD!$M$7,SCORE_METHOD!$N$6,IF(data_CLEAN!X48&lt;=SCORE_METHOD!$M$8,SCORE_METHOD!$N$7,SCORE_METHOD!$N$8))</f>
        <v>1</v>
      </c>
      <c r="Y48">
        <f>VLOOKUP(data_CLEAN!Y48,SCORE_METHOD!$A$13:$F$15,6,FALSE)</f>
        <v>3</v>
      </c>
      <c r="Z48">
        <f>SUM(C48:L48)*SCORE_METHOD!$E$53</f>
        <v>2.3000000000000003</v>
      </c>
      <c r="AA48">
        <f>SUM(M48:N48)*SCORE_METHOD!$E$63</f>
        <v>2</v>
      </c>
      <c r="AB48">
        <f>SUM(O48:U48)*SCORE_METHOD!$E$65</f>
        <v>1.5714285714285714</v>
      </c>
      <c r="AC48">
        <f>SUM(V48:Y48)*SCORE_METHOD!$E$72</f>
        <v>1.75</v>
      </c>
      <c r="AD48">
        <f>Z48*SCORE_METHOD!$C$44+data_SCORING!AA48*SCORE_METHOD!$C$45+data_SCORING!AB48*SCORE_METHOD!$C$46+data_SCORING!AC48*SCORE_METHOD!$C$47</f>
        <v>1.905357142857143</v>
      </c>
    </row>
    <row r="49" spans="1:30" x14ac:dyDescent="0.25">
      <c r="A49" t="s">
        <v>77</v>
      </c>
      <c r="B49">
        <v>108.143126791</v>
      </c>
      <c r="C49">
        <f>IF(data_CLEAN!C49&lt;=SCORE_METHOD!$B$7,SCORE_METHOD!$N$6,IF(data_CLEAN!C49&lt;=SCORE_METHOD!$B$8,SCORE_METHOD!$N$7,SCORE_METHOD!$N$8))</f>
        <v>3</v>
      </c>
      <c r="D49">
        <f>IF(data_CLEAN!D49&lt;=SCORE_METHOD!$C$7,SCORE_METHOD!$N$6,IF(data_CLEAN!D49&lt;=SCORE_METHOD!$C$8,SCORE_METHOD!$N$7,SCORE_METHOD!$N$8))</f>
        <v>3</v>
      </c>
      <c r="E49">
        <f>IF(data_CLEAN!E49&lt;=SCORE_METHOD!$D$7,SCORE_METHOD!$N$6,IF(data_CLEAN!E49&lt;=SCORE_METHOD!$D$8,SCORE_METHOD!$N$7,SCORE_METHOD!$N$8))</f>
        <v>3</v>
      </c>
      <c r="F49">
        <f>IF(data_CLEAN!F49&lt;=SCORE_METHOD!$E$7,SCORE_METHOD!$N$6,IF(data_CLEAN!F49&lt;=SCORE_METHOD!$E$8,SCORE_METHOD!$N$7,SCORE_METHOD!$N$8))</f>
        <v>3</v>
      </c>
      <c r="G49">
        <f>IF(data_CLEAN!G49&lt;=SCORE_METHOD!$F$7,SCORE_METHOD!$N$6,IF(data_CLEAN!G49&lt;=SCORE_METHOD!$F$8,SCORE_METHOD!$N$7,SCORE_METHOD!$N$8))</f>
        <v>3</v>
      </c>
      <c r="H49">
        <f>VLOOKUP(data_CLEAN!H49,SCORE_METHOD!$A$13:$B$15,2,FALSE)</f>
        <v>3</v>
      </c>
      <c r="I49">
        <f>VLOOKUP(data_CLEAN!I49,SCORE_METHOD!$A$13:$C$15,3,FALSE)</f>
        <v>3</v>
      </c>
      <c r="J49">
        <f>VLOOKUP(data_CLEAN!J49,SCORE_METHOD!$A$13:$D$15,4,FALSE)</f>
        <v>3</v>
      </c>
      <c r="K49">
        <f>VLOOKUP(data_CLEAN!K49,SCORE_METHOD!$A$13:$E$15,5,FALSE)</f>
        <v>3</v>
      </c>
      <c r="L49">
        <f>VLOOKUP(data_CLEAN!L49,SCORE_METHOD!$A$19:$B$21,2,FALSE)</f>
        <v>1</v>
      </c>
      <c r="M49">
        <f>IF(data_CLEAN!M49&lt;=SCORE_METHOD!$G$7,SCORE_METHOD!$N$6,IF(data_CLEAN!M49&lt;=SCORE_METHOD!$G$8,SCORE_METHOD!$N$7,SCORE_METHOD!$N$8))</f>
        <v>2</v>
      </c>
      <c r="N49">
        <f>IF(data_CLEAN!N49&lt;=SCORE_METHOD!$H$7,SCORE_METHOD!$N$6,IF(data_CLEAN!N49&lt;=SCORE_METHOD!$H$8,SCORE_METHOD!$N$7,SCORE_METHOD!$N$8))</f>
        <v>3</v>
      </c>
      <c r="O49">
        <f>VLOOKUP(data_CLEAN!O49,SCORE_METHOD!$A$25:$C$26,3,FALSE)</f>
        <v>0</v>
      </c>
      <c r="P49">
        <f>IF(data_CLEAN!P49&lt;=SCORE_METHOD!$I$7,SCORE_METHOD!$N$6,IF(data_CLEAN!P49&lt;=SCORE_METHOD!$I$8,SCORE_METHOD!$N$7,SCORE_METHOD!$N$8))</f>
        <v>2</v>
      </c>
      <c r="Q49">
        <f>IF(data_CLEAN!Q49&lt;=SCORE_METHOD!$B$31,SCORE_METHOD!$C$30,IF(data_CLEAN!Q49&lt;=SCORE_METHOD!$B$32,SCORE_METHOD!$C$31,SCORE_METHOD!$C$32))</f>
        <v>1</v>
      </c>
      <c r="R49">
        <f>IF(data_CLEAN!R49&lt;=SCORE_METHOD!$J$7,SCORE_METHOD!$N$6,IF(data_CLEAN!S49&lt;=SCORE_METHOD!$J$8,SCORE_METHOD!$N$7,SCORE_METHOD!$N$8))</f>
        <v>2</v>
      </c>
      <c r="S49">
        <f>IF(data_CLEAN!S49&lt;=SCORE_METHOD!$D$31,SCORE_METHOD!$E$30,IF(data_CLEAN!S49&lt;=SCORE_METHOD!$D$32,SCORE_METHOD!$E$31,SCORE_METHOD!$E$32))</f>
        <v>2</v>
      </c>
      <c r="T49">
        <f>VLOOKUP(data_CLEAN!T49,SCORE_METHOD!$A$25:$E$26,5,FALSE)</f>
        <v>0</v>
      </c>
      <c r="U49">
        <f>IF(data_CLEAN!U49=1,SCORE_METHOD!$B$37,SCORE_METHOD!$B$38)</f>
        <v>1</v>
      </c>
      <c r="V49">
        <f>IF(data_CLEAN!V49&lt;=SCORE_METHOD!$K$7,SCORE_METHOD!$N$6,IF(data_CLEAN!V49&lt;=SCORE_METHOD!$K$8,SCORE_METHOD!$N$7,SCORE_METHOD!$N$8))</f>
        <v>3</v>
      </c>
      <c r="W49">
        <f>IF(data_CLEAN!W49&lt;=SCORE_METHOD!$L$7,SCORE_METHOD!$N$6,IF(data_CLEAN!W49&lt;=SCORE_METHOD!$L$8,SCORE_METHOD!$N$7,SCORE_METHOD!$N$8))</f>
        <v>3</v>
      </c>
      <c r="X49">
        <f>IF(data_CLEAN!X49&lt;=SCORE_METHOD!$M$7,SCORE_METHOD!$N$6,IF(data_CLEAN!X49&lt;=SCORE_METHOD!$M$8,SCORE_METHOD!$N$7,SCORE_METHOD!$N$8))</f>
        <v>1</v>
      </c>
      <c r="Y49">
        <f>VLOOKUP(data_CLEAN!Y49,SCORE_METHOD!$A$13:$F$15,6,FALSE)</f>
        <v>3</v>
      </c>
      <c r="Z49">
        <f>SUM(C49:L49)*SCORE_METHOD!$E$53</f>
        <v>2.8000000000000003</v>
      </c>
      <c r="AA49">
        <f>SUM(M49:N49)*SCORE_METHOD!$E$63</f>
        <v>2.5</v>
      </c>
      <c r="AB49">
        <f>SUM(O49:U49)*SCORE_METHOD!$E$65</f>
        <v>1.1428571428571428</v>
      </c>
      <c r="AC49">
        <f>SUM(V49:Y49)*SCORE_METHOD!$E$72</f>
        <v>2.5</v>
      </c>
      <c r="AD49">
        <f>Z49*SCORE_METHOD!$C$44+data_SCORING!AA49*SCORE_METHOD!$C$45+data_SCORING!AB49*SCORE_METHOD!$C$46+data_SCORING!AC49*SCORE_METHOD!$C$47</f>
        <v>2.2357142857142858</v>
      </c>
    </row>
    <row r="50" spans="1:30" x14ac:dyDescent="0.25">
      <c r="A50" t="s">
        <v>78</v>
      </c>
      <c r="B50">
        <v>32.8099010761999</v>
      </c>
      <c r="C50">
        <f>IF(data_CLEAN!C50&lt;=SCORE_METHOD!$B$7,SCORE_METHOD!$N$6,IF(data_CLEAN!C50&lt;=SCORE_METHOD!$B$8,SCORE_METHOD!$N$7,SCORE_METHOD!$N$8))</f>
        <v>2</v>
      </c>
      <c r="D50">
        <f>IF(data_CLEAN!D50&lt;=SCORE_METHOD!$C$7,SCORE_METHOD!$N$6,IF(data_CLEAN!D50&lt;=SCORE_METHOD!$C$8,SCORE_METHOD!$N$7,SCORE_METHOD!$N$8))</f>
        <v>2</v>
      </c>
      <c r="E50">
        <f>IF(data_CLEAN!E50&lt;=SCORE_METHOD!$D$7,SCORE_METHOD!$N$6,IF(data_CLEAN!E50&lt;=SCORE_METHOD!$D$8,SCORE_METHOD!$N$7,SCORE_METHOD!$N$8))</f>
        <v>3</v>
      </c>
      <c r="F50">
        <f>IF(data_CLEAN!F50&lt;=SCORE_METHOD!$E$7,SCORE_METHOD!$N$6,IF(data_CLEAN!F50&lt;=SCORE_METHOD!$E$8,SCORE_METHOD!$N$7,SCORE_METHOD!$N$8))</f>
        <v>3</v>
      </c>
      <c r="G50">
        <f>IF(data_CLEAN!G50&lt;=SCORE_METHOD!$F$7,SCORE_METHOD!$N$6,IF(data_CLEAN!G50&lt;=SCORE_METHOD!$F$8,SCORE_METHOD!$N$7,SCORE_METHOD!$N$8))</f>
        <v>3</v>
      </c>
      <c r="H50">
        <f>VLOOKUP(data_CLEAN!H50,SCORE_METHOD!$A$13:$B$15,2,FALSE)</f>
        <v>3</v>
      </c>
      <c r="I50">
        <f>VLOOKUP(data_CLEAN!I50,SCORE_METHOD!$A$13:$C$15,3,FALSE)</f>
        <v>3</v>
      </c>
      <c r="J50">
        <f>VLOOKUP(data_CLEAN!J50,SCORE_METHOD!$A$13:$D$15,4,FALSE)</f>
        <v>1</v>
      </c>
      <c r="K50">
        <f>VLOOKUP(data_CLEAN!K50,SCORE_METHOD!$A$13:$E$15,5,FALSE)</f>
        <v>1</v>
      </c>
      <c r="L50">
        <f>VLOOKUP(data_CLEAN!L50,SCORE_METHOD!$A$19:$B$21,2,FALSE)</f>
        <v>2</v>
      </c>
      <c r="M50">
        <f>IF(data_CLEAN!M50&lt;=SCORE_METHOD!$G$7,SCORE_METHOD!$N$6,IF(data_CLEAN!M50&lt;=SCORE_METHOD!$G$8,SCORE_METHOD!$N$7,SCORE_METHOD!$N$8))</f>
        <v>1</v>
      </c>
      <c r="N50">
        <f>IF(data_CLEAN!N50&lt;=SCORE_METHOD!$H$7,SCORE_METHOD!$N$6,IF(data_CLEAN!N50&lt;=SCORE_METHOD!$H$8,SCORE_METHOD!$N$7,SCORE_METHOD!$N$8))</f>
        <v>2</v>
      </c>
      <c r="O50">
        <f>VLOOKUP(data_CLEAN!O50,SCORE_METHOD!$A$25:$C$26,3,FALSE)</f>
        <v>0</v>
      </c>
      <c r="P50">
        <f>IF(data_CLEAN!P50&lt;=SCORE_METHOD!$I$7,SCORE_METHOD!$N$6,IF(data_CLEAN!P50&lt;=SCORE_METHOD!$I$8,SCORE_METHOD!$N$7,SCORE_METHOD!$N$8))</f>
        <v>3</v>
      </c>
      <c r="Q50">
        <f>IF(data_CLEAN!Q50&lt;=SCORE_METHOD!$B$31,SCORE_METHOD!$C$30,IF(data_CLEAN!Q50&lt;=SCORE_METHOD!$B$32,SCORE_METHOD!$C$31,SCORE_METHOD!$C$32))</f>
        <v>1</v>
      </c>
      <c r="R50">
        <f>IF(data_CLEAN!R50&lt;=SCORE_METHOD!$J$7,SCORE_METHOD!$N$6,IF(data_CLEAN!S50&lt;=SCORE_METHOD!$J$8,SCORE_METHOD!$N$7,SCORE_METHOD!$N$8))</f>
        <v>2</v>
      </c>
      <c r="S50">
        <f>IF(data_CLEAN!S50&lt;=SCORE_METHOD!$D$31,SCORE_METHOD!$E$30,IF(data_CLEAN!S50&lt;=SCORE_METHOD!$D$32,SCORE_METHOD!$E$31,SCORE_METHOD!$E$32))</f>
        <v>2</v>
      </c>
      <c r="T50">
        <f>VLOOKUP(data_CLEAN!T50,SCORE_METHOD!$A$25:$E$26,5,FALSE)</f>
        <v>0</v>
      </c>
      <c r="U50">
        <f>IF(data_CLEAN!U50=1,SCORE_METHOD!$B$37,SCORE_METHOD!$B$38)</f>
        <v>0</v>
      </c>
      <c r="V50">
        <f>IF(data_CLEAN!V50&lt;=SCORE_METHOD!$K$7,SCORE_METHOD!$N$6,IF(data_CLEAN!V50&lt;=SCORE_METHOD!$K$8,SCORE_METHOD!$N$7,SCORE_METHOD!$N$8))</f>
        <v>1</v>
      </c>
      <c r="W50">
        <f>IF(data_CLEAN!W50&lt;=SCORE_METHOD!$L$7,SCORE_METHOD!$N$6,IF(data_CLEAN!W50&lt;=SCORE_METHOD!$L$8,SCORE_METHOD!$N$7,SCORE_METHOD!$N$8))</f>
        <v>1</v>
      </c>
      <c r="X50">
        <f>IF(data_CLEAN!X50&lt;=SCORE_METHOD!$M$7,SCORE_METHOD!$N$6,IF(data_CLEAN!X50&lt;=SCORE_METHOD!$M$8,SCORE_METHOD!$N$7,SCORE_METHOD!$N$8))</f>
        <v>1</v>
      </c>
      <c r="Y50">
        <f>VLOOKUP(data_CLEAN!Y50,SCORE_METHOD!$A$13:$F$15,6,FALSE)</f>
        <v>1</v>
      </c>
      <c r="Z50">
        <f>SUM(C50:L50)*SCORE_METHOD!$E$53</f>
        <v>2.3000000000000003</v>
      </c>
      <c r="AA50">
        <f>SUM(M50:N50)*SCORE_METHOD!$E$63</f>
        <v>1.5</v>
      </c>
      <c r="AB50">
        <f>SUM(O50:U50)*SCORE_METHOD!$E$65</f>
        <v>1.1428571428571428</v>
      </c>
      <c r="AC50">
        <f>SUM(V50:Y50)*SCORE_METHOD!$E$72</f>
        <v>1</v>
      </c>
      <c r="AD50">
        <f>Z50*SCORE_METHOD!$C$44+data_SCORING!AA50*SCORE_METHOD!$C$45+data_SCORING!AB50*SCORE_METHOD!$C$46+data_SCORING!AC50*SCORE_METHOD!$C$47</f>
        <v>1.4857142857142858</v>
      </c>
    </row>
    <row r="51" spans="1:30" x14ac:dyDescent="0.25">
      <c r="A51" t="s">
        <v>79</v>
      </c>
      <c r="B51">
        <v>190.605222900999</v>
      </c>
      <c r="C51">
        <f>IF(data_CLEAN!C51&lt;=SCORE_METHOD!$B$7,SCORE_METHOD!$N$6,IF(data_CLEAN!C51&lt;=SCORE_METHOD!$B$8,SCORE_METHOD!$N$7,SCORE_METHOD!$N$8))</f>
        <v>3</v>
      </c>
      <c r="D51">
        <f>IF(data_CLEAN!D51&lt;=SCORE_METHOD!$C$7,SCORE_METHOD!$N$6,IF(data_CLEAN!D51&lt;=SCORE_METHOD!$C$8,SCORE_METHOD!$N$7,SCORE_METHOD!$N$8))</f>
        <v>3</v>
      </c>
      <c r="E51">
        <f>IF(data_CLEAN!E51&lt;=SCORE_METHOD!$D$7,SCORE_METHOD!$N$6,IF(data_CLEAN!E51&lt;=SCORE_METHOD!$D$8,SCORE_METHOD!$N$7,SCORE_METHOD!$N$8))</f>
        <v>3</v>
      </c>
      <c r="F51">
        <f>IF(data_CLEAN!F51&lt;=SCORE_METHOD!$E$7,SCORE_METHOD!$N$6,IF(data_CLEAN!F51&lt;=SCORE_METHOD!$E$8,SCORE_METHOD!$N$7,SCORE_METHOD!$N$8))</f>
        <v>3</v>
      </c>
      <c r="G51">
        <f>IF(data_CLEAN!G51&lt;=SCORE_METHOD!$F$7,SCORE_METHOD!$N$6,IF(data_CLEAN!G51&lt;=SCORE_METHOD!$F$8,SCORE_METHOD!$N$7,SCORE_METHOD!$N$8))</f>
        <v>3</v>
      </c>
      <c r="H51">
        <f>VLOOKUP(data_CLEAN!H51,SCORE_METHOD!$A$13:$B$15,2,FALSE)</f>
        <v>3</v>
      </c>
      <c r="I51">
        <f>VLOOKUP(data_CLEAN!I51,SCORE_METHOD!$A$13:$C$15,3,FALSE)</f>
        <v>3</v>
      </c>
      <c r="J51">
        <f>VLOOKUP(data_CLEAN!J51,SCORE_METHOD!$A$13:$D$15,4,FALSE)</f>
        <v>1</v>
      </c>
      <c r="K51">
        <f>VLOOKUP(data_CLEAN!K51,SCORE_METHOD!$A$13:$E$15,5,FALSE)</f>
        <v>1</v>
      </c>
      <c r="L51">
        <f>VLOOKUP(data_CLEAN!L51,SCORE_METHOD!$A$19:$B$21,2,FALSE)</f>
        <v>2</v>
      </c>
      <c r="M51">
        <f>IF(data_CLEAN!M51&lt;=SCORE_METHOD!$G$7,SCORE_METHOD!$N$6,IF(data_CLEAN!M51&lt;=SCORE_METHOD!$G$8,SCORE_METHOD!$N$7,SCORE_METHOD!$N$8))</f>
        <v>3</v>
      </c>
      <c r="N51">
        <f>IF(data_CLEAN!N51&lt;=SCORE_METHOD!$H$7,SCORE_METHOD!$N$6,IF(data_CLEAN!N51&lt;=SCORE_METHOD!$H$8,SCORE_METHOD!$N$7,SCORE_METHOD!$N$8))</f>
        <v>3</v>
      </c>
      <c r="O51">
        <f>VLOOKUP(data_CLEAN!O51,SCORE_METHOD!$A$25:$C$26,3,FALSE)</f>
        <v>0</v>
      </c>
      <c r="P51">
        <f>IF(data_CLEAN!P51&lt;=SCORE_METHOD!$I$7,SCORE_METHOD!$N$6,IF(data_CLEAN!P51&lt;=SCORE_METHOD!$I$8,SCORE_METHOD!$N$7,SCORE_METHOD!$N$8))</f>
        <v>1</v>
      </c>
      <c r="Q51">
        <f>IF(data_CLEAN!Q51&lt;=SCORE_METHOD!$B$31,SCORE_METHOD!$C$30,IF(data_CLEAN!Q51&lt;=SCORE_METHOD!$B$32,SCORE_METHOD!$C$31,SCORE_METHOD!$C$32))</f>
        <v>2</v>
      </c>
      <c r="R51">
        <f>IF(data_CLEAN!R51&lt;=SCORE_METHOD!$J$7,SCORE_METHOD!$N$6,IF(data_CLEAN!S51&lt;=SCORE_METHOD!$J$8,SCORE_METHOD!$N$7,SCORE_METHOD!$N$8))</f>
        <v>2</v>
      </c>
      <c r="S51">
        <f>IF(data_CLEAN!S51&lt;=SCORE_METHOD!$D$31,SCORE_METHOD!$E$30,IF(data_CLEAN!S51&lt;=SCORE_METHOD!$D$32,SCORE_METHOD!$E$31,SCORE_METHOD!$E$32))</f>
        <v>1</v>
      </c>
      <c r="T51">
        <f>VLOOKUP(data_CLEAN!T51,SCORE_METHOD!$A$25:$E$26,5,FALSE)</f>
        <v>0</v>
      </c>
      <c r="U51">
        <f>IF(data_CLEAN!U51=1,SCORE_METHOD!$B$37,SCORE_METHOD!$B$38)</f>
        <v>1</v>
      </c>
      <c r="V51">
        <f>IF(data_CLEAN!V51&lt;=SCORE_METHOD!$K$7,SCORE_METHOD!$N$6,IF(data_CLEAN!V51&lt;=SCORE_METHOD!$K$8,SCORE_METHOD!$N$7,SCORE_METHOD!$N$8))</f>
        <v>3</v>
      </c>
      <c r="W51">
        <f>IF(data_CLEAN!W51&lt;=SCORE_METHOD!$L$7,SCORE_METHOD!$N$6,IF(data_CLEAN!W51&lt;=SCORE_METHOD!$L$8,SCORE_METHOD!$N$7,SCORE_METHOD!$N$8))</f>
        <v>3</v>
      </c>
      <c r="X51">
        <f>IF(data_CLEAN!X51&lt;=SCORE_METHOD!$M$7,SCORE_METHOD!$N$6,IF(data_CLEAN!X51&lt;=SCORE_METHOD!$M$8,SCORE_METHOD!$N$7,SCORE_METHOD!$N$8))</f>
        <v>3</v>
      </c>
      <c r="Y51">
        <f>VLOOKUP(data_CLEAN!Y51,SCORE_METHOD!$A$13:$F$15,6,FALSE)</f>
        <v>2</v>
      </c>
      <c r="Z51">
        <f>SUM(C51:L51)*SCORE_METHOD!$E$53</f>
        <v>2.5</v>
      </c>
      <c r="AA51">
        <f>SUM(M51:N51)*SCORE_METHOD!$E$63</f>
        <v>3</v>
      </c>
      <c r="AB51">
        <f>SUM(O51:U51)*SCORE_METHOD!$E$65</f>
        <v>1</v>
      </c>
      <c r="AC51">
        <f>SUM(V51:Y51)*SCORE_METHOD!$E$72</f>
        <v>2.75</v>
      </c>
      <c r="AD51">
        <f>Z51*SCORE_METHOD!$C$44+data_SCORING!AA51*SCORE_METHOD!$C$45+data_SCORING!AB51*SCORE_METHOD!$C$46+data_SCORING!AC51*SCORE_METHOD!$C$47</f>
        <v>2.3125</v>
      </c>
    </row>
    <row r="52" spans="1:30" x14ac:dyDescent="0.25">
      <c r="A52" t="s">
        <v>80</v>
      </c>
      <c r="B52">
        <v>206.581413717</v>
      </c>
      <c r="C52">
        <f>IF(data_CLEAN!C52&lt;=SCORE_METHOD!$B$7,SCORE_METHOD!$N$6,IF(data_CLEAN!C52&lt;=SCORE_METHOD!$B$8,SCORE_METHOD!$N$7,SCORE_METHOD!$N$8))</f>
        <v>3</v>
      </c>
      <c r="D52">
        <f>IF(data_CLEAN!D52&lt;=SCORE_METHOD!$C$7,SCORE_METHOD!$N$6,IF(data_CLEAN!D52&lt;=SCORE_METHOD!$C$8,SCORE_METHOD!$N$7,SCORE_METHOD!$N$8))</f>
        <v>3</v>
      </c>
      <c r="E52">
        <f>IF(data_CLEAN!E52&lt;=SCORE_METHOD!$D$7,SCORE_METHOD!$N$6,IF(data_CLEAN!E52&lt;=SCORE_METHOD!$D$8,SCORE_METHOD!$N$7,SCORE_METHOD!$N$8))</f>
        <v>2</v>
      </c>
      <c r="F52">
        <f>IF(data_CLEAN!F52&lt;=SCORE_METHOD!$E$7,SCORE_METHOD!$N$6,IF(data_CLEAN!F52&lt;=SCORE_METHOD!$E$8,SCORE_METHOD!$N$7,SCORE_METHOD!$N$8))</f>
        <v>3</v>
      </c>
      <c r="G52">
        <f>IF(data_CLEAN!G52&lt;=SCORE_METHOD!$F$7,SCORE_METHOD!$N$6,IF(data_CLEAN!G52&lt;=SCORE_METHOD!$F$8,SCORE_METHOD!$N$7,SCORE_METHOD!$N$8))</f>
        <v>3</v>
      </c>
      <c r="H52">
        <f>VLOOKUP(data_CLEAN!H52,SCORE_METHOD!$A$13:$B$15,2,FALSE)</f>
        <v>1</v>
      </c>
      <c r="I52">
        <f>VLOOKUP(data_CLEAN!I52,SCORE_METHOD!$A$13:$C$15,3,FALSE)</f>
        <v>3</v>
      </c>
      <c r="J52">
        <f>VLOOKUP(data_CLEAN!J52,SCORE_METHOD!$A$13:$D$15,4,FALSE)</f>
        <v>1</v>
      </c>
      <c r="K52">
        <f>VLOOKUP(data_CLEAN!K52,SCORE_METHOD!$A$13:$E$15,5,FALSE)</f>
        <v>3</v>
      </c>
      <c r="L52">
        <f>VLOOKUP(data_CLEAN!L52,SCORE_METHOD!$A$19:$B$21,2,FALSE)</f>
        <v>1</v>
      </c>
      <c r="M52">
        <f>IF(data_CLEAN!M52&lt;=SCORE_METHOD!$G$7,SCORE_METHOD!$N$6,IF(data_CLEAN!M52&lt;=SCORE_METHOD!$G$8,SCORE_METHOD!$N$7,SCORE_METHOD!$N$8))</f>
        <v>3</v>
      </c>
      <c r="N52">
        <f>IF(data_CLEAN!N52&lt;=SCORE_METHOD!$H$7,SCORE_METHOD!$N$6,IF(data_CLEAN!N52&lt;=SCORE_METHOD!$H$8,SCORE_METHOD!$N$7,SCORE_METHOD!$N$8))</f>
        <v>3</v>
      </c>
      <c r="O52">
        <f>VLOOKUP(data_CLEAN!O52,SCORE_METHOD!$A$25:$C$26,3,FALSE)</f>
        <v>1</v>
      </c>
      <c r="P52">
        <f>IF(data_CLEAN!P52&lt;=SCORE_METHOD!$I$7,SCORE_METHOD!$N$6,IF(data_CLEAN!P52&lt;=SCORE_METHOD!$I$8,SCORE_METHOD!$N$7,SCORE_METHOD!$N$8))</f>
        <v>1</v>
      </c>
      <c r="Q52">
        <f>IF(data_CLEAN!Q52&lt;=SCORE_METHOD!$B$31,SCORE_METHOD!$C$30,IF(data_CLEAN!Q52&lt;=SCORE_METHOD!$B$32,SCORE_METHOD!$C$31,SCORE_METHOD!$C$32))</f>
        <v>1</v>
      </c>
      <c r="R52">
        <f>IF(data_CLEAN!R52&lt;=SCORE_METHOD!$J$7,SCORE_METHOD!$N$6,IF(data_CLEAN!S52&lt;=SCORE_METHOD!$J$8,SCORE_METHOD!$N$7,SCORE_METHOD!$N$8))</f>
        <v>2</v>
      </c>
      <c r="S52">
        <f>IF(data_CLEAN!S52&lt;=SCORE_METHOD!$D$31,SCORE_METHOD!$E$30,IF(data_CLEAN!S52&lt;=SCORE_METHOD!$D$32,SCORE_METHOD!$E$31,SCORE_METHOD!$E$32))</f>
        <v>1</v>
      </c>
      <c r="T52">
        <f>VLOOKUP(data_CLEAN!T52,SCORE_METHOD!$A$25:$E$26,5,FALSE)</f>
        <v>1</v>
      </c>
      <c r="U52">
        <f>IF(data_CLEAN!U52=1,SCORE_METHOD!$B$37,SCORE_METHOD!$B$38)</f>
        <v>0</v>
      </c>
      <c r="V52">
        <f>IF(data_CLEAN!V52&lt;=SCORE_METHOD!$K$7,SCORE_METHOD!$N$6,IF(data_CLEAN!V52&lt;=SCORE_METHOD!$K$8,SCORE_METHOD!$N$7,SCORE_METHOD!$N$8))</f>
        <v>3</v>
      </c>
      <c r="W52">
        <f>IF(data_CLEAN!W52&lt;=SCORE_METHOD!$L$7,SCORE_METHOD!$N$6,IF(data_CLEAN!W52&lt;=SCORE_METHOD!$L$8,SCORE_METHOD!$N$7,SCORE_METHOD!$N$8))</f>
        <v>3</v>
      </c>
      <c r="X52">
        <f>IF(data_CLEAN!X52&lt;=SCORE_METHOD!$M$7,SCORE_METHOD!$N$6,IF(data_CLEAN!X52&lt;=SCORE_METHOD!$M$8,SCORE_METHOD!$N$7,SCORE_METHOD!$N$8))</f>
        <v>3</v>
      </c>
      <c r="Y52">
        <f>VLOOKUP(data_CLEAN!Y52,SCORE_METHOD!$A$13:$F$15,6,FALSE)</f>
        <v>2</v>
      </c>
      <c r="Z52">
        <f>SUM(C52:L52)*SCORE_METHOD!$E$53</f>
        <v>2.3000000000000003</v>
      </c>
      <c r="AA52">
        <f>SUM(M52:N52)*SCORE_METHOD!$E$63</f>
        <v>3</v>
      </c>
      <c r="AB52">
        <f>SUM(O52:U52)*SCORE_METHOD!$E$65</f>
        <v>1</v>
      </c>
      <c r="AC52">
        <f>SUM(V52:Y52)*SCORE_METHOD!$E$72</f>
        <v>2.75</v>
      </c>
      <c r="AD52">
        <f>Z52*SCORE_METHOD!$C$44+data_SCORING!AA52*SCORE_METHOD!$C$45+data_SCORING!AB52*SCORE_METHOD!$C$46+data_SCORING!AC52*SCORE_METHOD!$C$47</f>
        <v>2.2625000000000002</v>
      </c>
    </row>
    <row r="53" spans="1:30" x14ac:dyDescent="0.25">
      <c r="A53" t="s">
        <v>81</v>
      </c>
      <c r="B53">
        <v>195.19672245000001</v>
      </c>
      <c r="C53">
        <f>IF(data_CLEAN!C53&lt;=SCORE_METHOD!$B$7,SCORE_METHOD!$N$6,IF(data_CLEAN!C53&lt;=SCORE_METHOD!$B$8,SCORE_METHOD!$N$7,SCORE_METHOD!$N$8))</f>
        <v>1</v>
      </c>
      <c r="D53">
        <f>IF(data_CLEAN!D53&lt;=SCORE_METHOD!$C$7,SCORE_METHOD!$N$6,IF(data_CLEAN!D53&lt;=SCORE_METHOD!$C$8,SCORE_METHOD!$N$7,SCORE_METHOD!$N$8))</f>
        <v>1</v>
      </c>
      <c r="E53">
        <f>IF(data_CLEAN!E53&lt;=SCORE_METHOD!$D$7,SCORE_METHOD!$N$6,IF(data_CLEAN!E53&lt;=SCORE_METHOD!$D$8,SCORE_METHOD!$N$7,SCORE_METHOD!$N$8))</f>
        <v>3</v>
      </c>
      <c r="F53">
        <f>IF(data_CLEAN!F53&lt;=SCORE_METHOD!$E$7,SCORE_METHOD!$N$6,IF(data_CLEAN!F53&lt;=SCORE_METHOD!$E$8,SCORE_METHOD!$N$7,SCORE_METHOD!$N$8))</f>
        <v>2</v>
      </c>
      <c r="G53">
        <f>IF(data_CLEAN!G53&lt;=SCORE_METHOD!$F$7,SCORE_METHOD!$N$6,IF(data_CLEAN!G53&lt;=SCORE_METHOD!$F$8,SCORE_METHOD!$N$7,SCORE_METHOD!$N$8))</f>
        <v>2</v>
      </c>
      <c r="H53">
        <f>VLOOKUP(data_CLEAN!H53,SCORE_METHOD!$A$13:$B$15,2,FALSE)</f>
        <v>3</v>
      </c>
      <c r="I53">
        <f>VLOOKUP(data_CLEAN!I53,SCORE_METHOD!$A$13:$C$15,3,FALSE)</f>
        <v>3</v>
      </c>
      <c r="J53">
        <f>VLOOKUP(data_CLEAN!J53,SCORE_METHOD!$A$13:$D$15,4,FALSE)</f>
        <v>1</v>
      </c>
      <c r="K53">
        <f>VLOOKUP(data_CLEAN!K53,SCORE_METHOD!$A$13:$E$15,5,FALSE)</f>
        <v>3</v>
      </c>
      <c r="L53">
        <f>VLOOKUP(data_CLEAN!L53,SCORE_METHOD!$A$19:$B$21,2,FALSE)</f>
        <v>1</v>
      </c>
      <c r="M53">
        <f>IF(data_CLEAN!M53&lt;=SCORE_METHOD!$G$7,SCORE_METHOD!$N$6,IF(data_CLEAN!M53&lt;=SCORE_METHOD!$G$8,SCORE_METHOD!$N$7,SCORE_METHOD!$N$8))</f>
        <v>3</v>
      </c>
      <c r="N53">
        <f>IF(data_CLEAN!N53&lt;=SCORE_METHOD!$H$7,SCORE_METHOD!$N$6,IF(data_CLEAN!N53&lt;=SCORE_METHOD!$H$8,SCORE_METHOD!$N$7,SCORE_METHOD!$N$8))</f>
        <v>3</v>
      </c>
      <c r="O53">
        <f>VLOOKUP(data_CLEAN!O53,SCORE_METHOD!$A$25:$C$26,3,FALSE)</f>
        <v>1</v>
      </c>
      <c r="P53">
        <f>IF(data_CLEAN!P53&lt;=SCORE_METHOD!$I$7,SCORE_METHOD!$N$6,IF(data_CLEAN!P53&lt;=SCORE_METHOD!$I$8,SCORE_METHOD!$N$7,SCORE_METHOD!$N$8))</f>
        <v>2</v>
      </c>
      <c r="Q53">
        <f>IF(data_CLEAN!Q53&lt;=SCORE_METHOD!$B$31,SCORE_METHOD!$C$30,IF(data_CLEAN!Q53&lt;=SCORE_METHOD!$B$32,SCORE_METHOD!$C$31,SCORE_METHOD!$C$32))</f>
        <v>1</v>
      </c>
      <c r="R53">
        <f>IF(data_CLEAN!R53&lt;=SCORE_METHOD!$J$7,SCORE_METHOD!$N$6,IF(data_CLEAN!S53&lt;=SCORE_METHOD!$J$8,SCORE_METHOD!$N$7,SCORE_METHOD!$N$8))</f>
        <v>2</v>
      </c>
      <c r="S53">
        <f>IF(data_CLEAN!S53&lt;=SCORE_METHOD!$D$31,SCORE_METHOD!$E$30,IF(data_CLEAN!S53&lt;=SCORE_METHOD!$D$32,SCORE_METHOD!$E$31,SCORE_METHOD!$E$32))</f>
        <v>2</v>
      </c>
      <c r="T53">
        <f>VLOOKUP(data_CLEAN!T53,SCORE_METHOD!$A$25:$E$26,5,FALSE)</f>
        <v>1</v>
      </c>
      <c r="U53">
        <f>IF(data_CLEAN!U53=1,SCORE_METHOD!$B$37,SCORE_METHOD!$B$38)</f>
        <v>1</v>
      </c>
      <c r="V53">
        <f>IF(data_CLEAN!V53&lt;=SCORE_METHOD!$K$7,SCORE_METHOD!$N$6,IF(data_CLEAN!V53&lt;=SCORE_METHOD!$K$8,SCORE_METHOD!$N$7,SCORE_METHOD!$N$8))</f>
        <v>2</v>
      </c>
      <c r="W53">
        <f>IF(data_CLEAN!W53&lt;=SCORE_METHOD!$L$7,SCORE_METHOD!$N$6,IF(data_CLEAN!W53&lt;=SCORE_METHOD!$L$8,SCORE_METHOD!$N$7,SCORE_METHOD!$N$8))</f>
        <v>2</v>
      </c>
      <c r="X53">
        <f>IF(data_CLEAN!X53&lt;=SCORE_METHOD!$M$7,SCORE_METHOD!$N$6,IF(data_CLEAN!X53&lt;=SCORE_METHOD!$M$8,SCORE_METHOD!$N$7,SCORE_METHOD!$N$8))</f>
        <v>3</v>
      </c>
      <c r="Y53">
        <f>VLOOKUP(data_CLEAN!Y53,SCORE_METHOD!$A$13:$F$15,6,FALSE)</f>
        <v>2</v>
      </c>
      <c r="Z53">
        <f>SUM(C53:L53)*SCORE_METHOD!$E$53</f>
        <v>2</v>
      </c>
      <c r="AA53">
        <f>SUM(M53:N53)*SCORE_METHOD!$E$63</f>
        <v>3</v>
      </c>
      <c r="AB53">
        <f>SUM(O53:U53)*SCORE_METHOD!$E$65</f>
        <v>1.4285714285714284</v>
      </c>
      <c r="AC53">
        <f>SUM(V53:Y53)*SCORE_METHOD!$E$72</f>
        <v>2.25</v>
      </c>
      <c r="AD53">
        <f>Z53*SCORE_METHOD!$C$44+data_SCORING!AA53*SCORE_METHOD!$C$45+data_SCORING!AB53*SCORE_METHOD!$C$46+data_SCORING!AC53*SCORE_METHOD!$C$47</f>
        <v>2.1696428571428572</v>
      </c>
    </row>
    <row r="54" spans="1:30" x14ac:dyDescent="0.25">
      <c r="A54" t="s">
        <v>82</v>
      </c>
      <c r="B54">
        <v>122.665972260999</v>
      </c>
      <c r="C54">
        <f>IF(data_CLEAN!C54&lt;=SCORE_METHOD!$B$7,SCORE_METHOD!$N$6,IF(data_CLEAN!C54&lt;=SCORE_METHOD!$B$8,SCORE_METHOD!$N$7,SCORE_METHOD!$N$8))</f>
        <v>1</v>
      </c>
      <c r="D54">
        <f>IF(data_CLEAN!D54&lt;=SCORE_METHOD!$C$7,SCORE_METHOD!$N$6,IF(data_CLEAN!D54&lt;=SCORE_METHOD!$C$8,SCORE_METHOD!$N$7,SCORE_METHOD!$N$8))</f>
        <v>1</v>
      </c>
      <c r="E54">
        <f>IF(data_CLEAN!E54&lt;=SCORE_METHOD!$D$7,SCORE_METHOD!$N$6,IF(data_CLEAN!E54&lt;=SCORE_METHOD!$D$8,SCORE_METHOD!$N$7,SCORE_METHOD!$N$8))</f>
        <v>3</v>
      </c>
      <c r="F54">
        <f>IF(data_CLEAN!F54&lt;=SCORE_METHOD!$E$7,SCORE_METHOD!$N$6,IF(data_CLEAN!F54&lt;=SCORE_METHOD!$E$8,SCORE_METHOD!$N$7,SCORE_METHOD!$N$8))</f>
        <v>3</v>
      </c>
      <c r="G54">
        <f>IF(data_CLEAN!G54&lt;=SCORE_METHOD!$F$7,SCORE_METHOD!$N$6,IF(data_CLEAN!G54&lt;=SCORE_METHOD!$F$8,SCORE_METHOD!$N$7,SCORE_METHOD!$N$8))</f>
        <v>3</v>
      </c>
      <c r="H54">
        <f>VLOOKUP(data_CLEAN!H54,SCORE_METHOD!$A$13:$B$15,2,FALSE)</f>
        <v>3</v>
      </c>
      <c r="I54">
        <f>VLOOKUP(data_CLEAN!I54,SCORE_METHOD!$A$13:$C$15,3,FALSE)</f>
        <v>3</v>
      </c>
      <c r="J54">
        <f>VLOOKUP(data_CLEAN!J54,SCORE_METHOD!$A$13:$D$15,4,FALSE)</f>
        <v>1</v>
      </c>
      <c r="K54">
        <f>VLOOKUP(data_CLEAN!K54,SCORE_METHOD!$A$13:$E$15,5,FALSE)</f>
        <v>3</v>
      </c>
      <c r="L54">
        <f>VLOOKUP(data_CLEAN!L54,SCORE_METHOD!$A$19:$B$21,2,FALSE)</f>
        <v>3</v>
      </c>
      <c r="M54">
        <f>IF(data_CLEAN!M54&lt;=SCORE_METHOD!$G$7,SCORE_METHOD!$N$6,IF(data_CLEAN!M54&lt;=SCORE_METHOD!$G$8,SCORE_METHOD!$N$7,SCORE_METHOD!$N$8))</f>
        <v>1</v>
      </c>
      <c r="N54">
        <f>IF(data_CLEAN!N54&lt;=SCORE_METHOD!$H$7,SCORE_METHOD!$N$6,IF(data_CLEAN!N54&lt;=SCORE_METHOD!$H$8,SCORE_METHOD!$N$7,SCORE_METHOD!$N$8))</f>
        <v>3</v>
      </c>
      <c r="O54">
        <f>VLOOKUP(data_CLEAN!O54,SCORE_METHOD!$A$25:$C$26,3,FALSE)</f>
        <v>1</v>
      </c>
      <c r="P54">
        <f>IF(data_CLEAN!P54&lt;=SCORE_METHOD!$I$7,SCORE_METHOD!$N$6,IF(data_CLEAN!P54&lt;=SCORE_METHOD!$I$8,SCORE_METHOD!$N$7,SCORE_METHOD!$N$8))</f>
        <v>3</v>
      </c>
      <c r="Q54">
        <f>IF(data_CLEAN!Q54&lt;=SCORE_METHOD!$B$31,SCORE_METHOD!$C$30,IF(data_CLEAN!Q54&lt;=SCORE_METHOD!$B$32,SCORE_METHOD!$C$31,SCORE_METHOD!$C$32))</f>
        <v>2</v>
      </c>
      <c r="R54">
        <f>IF(data_CLEAN!R54&lt;=SCORE_METHOD!$J$7,SCORE_METHOD!$N$6,IF(data_CLEAN!S54&lt;=SCORE_METHOD!$J$8,SCORE_METHOD!$N$7,SCORE_METHOD!$N$8))</f>
        <v>2</v>
      </c>
      <c r="S54">
        <f>IF(data_CLEAN!S54&lt;=SCORE_METHOD!$D$31,SCORE_METHOD!$E$30,IF(data_CLEAN!S54&lt;=SCORE_METHOD!$D$32,SCORE_METHOD!$E$31,SCORE_METHOD!$E$32))</f>
        <v>1</v>
      </c>
      <c r="T54">
        <f>VLOOKUP(data_CLEAN!T54,SCORE_METHOD!$A$25:$E$26,5,FALSE)</f>
        <v>0</v>
      </c>
      <c r="U54">
        <f>IF(data_CLEAN!U54=1,SCORE_METHOD!$B$37,SCORE_METHOD!$B$38)</f>
        <v>1</v>
      </c>
      <c r="V54">
        <f>IF(data_CLEAN!V54&lt;=SCORE_METHOD!$K$7,SCORE_METHOD!$N$6,IF(data_CLEAN!V54&lt;=SCORE_METHOD!$K$8,SCORE_METHOD!$N$7,SCORE_METHOD!$N$8))</f>
        <v>1</v>
      </c>
      <c r="W54">
        <f>IF(data_CLEAN!W54&lt;=SCORE_METHOD!$L$7,SCORE_METHOD!$N$6,IF(data_CLEAN!W54&lt;=SCORE_METHOD!$L$8,SCORE_METHOD!$N$7,SCORE_METHOD!$N$8))</f>
        <v>1</v>
      </c>
      <c r="X54">
        <f>IF(data_CLEAN!X54&lt;=SCORE_METHOD!$M$7,SCORE_METHOD!$N$6,IF(data_CLEAN!X54&lt;=SCORE_METHOD!$M$8,SCORE_METHOD!$N$7,SCORE_METHOD!$N$8))</f>
        <v>2</v>
      </c>
      <c r="Y54">
        <f>VLOOKUP(data_CLEAN!Y54,SCORE_METHOD!$A$13:$F$15,6,FALSE)</f>
        <v>3</v>
      </c>
      <c r="Z54">
        <f>SUM(C54:L54)*SCORE_METHOD!$E$53</f>
        <v>2.4000000000000004</v>
      </c>
      <c r="AA54">
        <f>SUM(M54:N54)*SCORE_METHOD!$E$63</f>
        <v>2</v>
      </c>
      <c r="AB54">
        <f>SUM(O54:U54)*SCORE_METHOD!$E$65</f>
        <v>1.4285714285714284</v>
      </c>
      <c r="AC54">
        <f>SUM(V54:Y54)*SCORE_METHOD!$E$72</f>
        <v>1.75</v>
      </c>
      <c r="AD54">
        <f>Z54*SCORE_METHOD!$C$44+data_SCORING!AA54*SCORE_METHOD!$C$45+data_SCORING!AB54*SCORE_METHOD!$C$46+data_SCORING!AC54*SCORE_METHOD!$C$47</f>
        <v>1.8946428571428573</v>
      </c>
    </row>
    <row r="55" spans="1:30" x14ac:dyDescent="0.25">
      <c r="A55" t="s">
        <v>83</v>
      </c>
      <c r="B55">
        <v>123.780828525</v>
      </c>
      <c r="C55">
        <f>IF(data_CLEAN!C55&lt;=SCORE_METHOD!$B$7,SCORE_METHOD!$N$6,IF(data_CLEAN!C55&lt;=SCORE_METHOD!$B$8,SCORE_METHOD!$N$7,SCORE_METHOD!$N$8))</f>
        <v>3</v>
      </c>
      <c r="D55">
        <f>IF(data_CLEAN!D55&lt;=SCORE_METHOD!$C$7,SCORE_METHOD!$N$6,IF(data_CLEAN!D55&lt;=SCORE_METHOD!$C$8,SCORE_METHOD!$N$7,SCORE_METHOD!$N$8))</f>
        <v>3</v>
      </c>
      <c r="E55">
        <f>IF(data_CLEAN!E55&lt;=SCORE_METHOD!$D$7,SCORE_METHOD!$N$6,IF(data_CLEAN!E55&lt;=SCORE_METHOD!$D$8,SCORE_METHOD!$N$7,SCORE_METHOD!$N$8))</f>
        <v>3</v>
      </c>
      <c r="F55">
        <f>IF(data_CLEAN!F55&lt;=SCORE_METHOD!$E$7,SCORE_METHOD!$N$6,IF(data_CLEAN!F55&lt;=SCORE_METHOD!$E$8,SCORE_METHOD!$N$7,SCORE_METHOD!$N$8))</f>
        <v>2</v>
      </c>
      <c r="G55">
        <f>IF(data_CLEAN!G55&lt;=SCORE_METHOD!$F$7,SCORE_METHOD!$N$6,IF(data_CLEAN!G55&lt;=SCORE_METHOD!$F$8,SCORE_METHOD!$N$7,SCORE_METHOD!$N$8))</f>
        <v>2</v>
      </c>
      <c r="H55">
        <f>VLOOKUP(data_CLEAN!H55,SCORE_METHOD!$A$13:$B$15,2,FALSE)</f>
        <v>3</v>
      </c>
      <c r="I55">
        <f>VLOOKUP(data_CLEAN!I55,SCORE_METHOD!$A$13:$C$15,3,FALSE)</f>
        <v>1</v>
      </c>
      <c r="J55">
        <f>VLOOKUP(data_CLEAN!J55,SCORE_METHOD!$A$13:$D$15,4,FALSE)</f>
        <v>1</v>
      </c>
      <c r="K55">
        <f>VLOOKUP(data_CLEAN!K55,SCORE_METHOD!$A$13:$E$15,5,FALSE)</f>
        <v>1</v>
      </c>
      <c r="L55">
        <f>VLOOKUP(data_CLEAN!L55,SCORE_METHOD!$A$19:$B$21,2,FALSE)</f>
        <v>2</v>
      </c>
      <c r="M55">
        <f>IF(data_CLEAN!M55&lt;=SCORE_METHOD!$G$7,SCORE_METHOD!$N$6,IF(data_CLEAN!M55&lt;=SCORE_METHOD!$G$8,SCORE_METHOD!$N$7,SCORE_METHOD!$N$8))</f>
        <v>3</v>
      </c>
      <c r="N55">
        <f>IF(data_CLEAN!N55&lt;=SCORE_METHOD!$H$7,SCORE_METHOD!$N$6,IF(data_CLEAN!N55&lt;=SCORE_METHOD!$H$8,SCORE_METHOD!$N$7,SCORE_METHOD!$N$8))</f>
        <v>3</v>
      </c>
      <c r="O55">
        <f>VLOOKUP(data_CLEAN!O55,SCORE_METHOD!$A$25:$C$26,3,FALSE)</f>
        <v>1</v>
      </c>
      <c r="P55">
        <f>IF(data_CLEAN!P55&lt;=SCORE_METHOD!$I$7,SCORE_METHOD!$N$6,IF(data_CLEAN!P55&lt;=SCORE_METHOD!$I$8,SCORE_METHOD!$N$7,SCORE_METHOD!$N$8))</f>
        <v>2</v>
      </c>
      <c r="Q55">
        <f>IF(data_CLEAN!Q55&lt;=SCORE_METHOD!$B$31,SCORE_METHOD!$C$30,IF(data_CLEAN!Q55&lt;=SCORE_METHOD!$B$32,SCORE_METHOD!$C$31,SCORE_METHOD!$C$32))</f>
        <v>2</v>
      </c>
      <c r="R55">
        <f>IF(data_CLEAN!R55&lt;=SCORE_METHOD!$J$7,SCORE_METHOD!$N$6,IF(data_CLEAN!S55&lt;=SCORE_METHOD!$J$8,SCORE_METHOD!$N$7,SCORE_METHOD!$N$8))</f>
        <v>1</v>
      </c>
      <c r="S55">
        <f>IF(data_CLEAN!S55&lt;=SCORE_METHOD!$D$31,SCORE_METHOD!$E$30,IF(data_CLEAN!S55&lt;=SCORE_METHOD!$D$32,SCORE_METHOD!$E$31,SCORE_METHOD!$E$32))</f>
        <v>1</v>
      </c>
      <c r="T55">
        <f>VLOOKUP(data_CLEAN!T55,SCORE_METHOD!$A$25:$E$26,5,FALSE)</f>
        <v>0</v>
      </c>
      <c r="U55">
        <f>IF(data_CLEAN!U55=1,SCORE_METHOD!$B$37,SCORE_METHOD!$B$38)</f>
        <v>1</v>
      </c>
      <c r="V55">
        <f>IF(data_CLEAN!V55&lt;=SCORE_METHOD!$K$7,SCORE_METHOD!$N$6,IF(data_CLEAN!V55&lt;=SCORE_METHOD!$K$8,SCORE_METHOD!$N$7,SCORE_METHOD!$N$8))</f>
        <v>2</v>
      </c>
      <c r="W55">
        <f>IF(data_CLEAN!W55&lt;=SCORE_METHOD!$L$7,SCORE_METHOD!$N$6,IF(data_CLEAN!W55&lt;=SCORE_METHOD!$L$8,SCORE_METHOD!$N$7,SCORE_METHOD!$N$8))</f>
        <v>1</v>
      </c>
      <c r="X55">
        <f>IF(data_CLEAN!X55&lt;=SCORE_METHOD!$M$7,SCORE_METHOD!$N$6,IF(data_CLEAN!X55&lt;=SCORE_METHOD!$M$8,SCORE_METHOD!$N$7,SCORE_METHOD!$N$8))</f>
        <v>1</v>
      </c>
      <c r="Y55">
        <f>VLOOKUP(data_CLEAN!Y55,SCORE_METHOD!$A$13:$F$15,6,FALSE)</f>
        <v>2</v>
      </c>
      <c r="Z55">
        <f>SUM(C55:L55)*SCORE_METHOD!$E$53</f>
        <v>2.1</v>
      </c>
      <c r="AA55">
        <f>SUM(M55:N55)*SCORE_METHOD!$E$63</f>
        <v>3</v>
      </c>
      <c r="AB55">
        <f>SUM(O55:U55)*SCORE_METHOD!$E$65</f>
        <v>1.1428571428571428</v>
      </c>
      <c r="AC55">
        <f>SUM(V55:Y55)*SCORE_METHOD!$E$72</f>
        <v>1.5</v>
      </c>
      <c r="AD55">
        <f>Z55*SCORE_METHOD!$C$44+data_SCORING!AA55*SCORE_METHOD!$C$45+data_SCORING!AB55*SCORE_METHOD!$C$46+data_SCORING!AC55*SCORE_METHOD!$C$47</f>
        <v>1.9357142857142855</v>
      </c>
    </row>
    <row r="56" spans="1:30" x14ac:dyDescent="0.25">
      <c r="A56" t="s">
        <v>84</v>
      </c>
      <c r="B56">
        <v>96.577199252</v>
      </c>
      <c r="C56">
        <f>IF(data_CLEAN!C56&lt;=SCORE_METHOD!$B$7,SCORE_METHOD!$N$6,IF(data_CLEAN!C56&lt;=SCORE_METHOD!$B$8,SCORE_METHOD!$N$7,SCORE_METHOD!$N$8))</f>
        <v>3</v>
      </c>
      <c r="D56">
        <f>IF(data_CLEAN!D56&lt;=SCORE_METHOD!$C$7,SCORE_METHOD!$N$6,IF(data_CLEAN!D56&lt;=SCORE_METHOD!$C$8,SCORE_METHOD!$N$7,SCORE_METHOD!$N$8))</f>
        <v>3</v>
      </c>
      <c r="E56">
        <f>IF(data_CLEAN!E56&lt;=SCORE_METHOD!$D$7,SCORE_METHOD!$N$6,IF(data_CLEAN!E56&lt;=SCORE_METHOD!$D$8,SCORE_METHOD!$N$7,SCORE_METHOD!$N$8))</f>
        <v>3</v>
      </c>
      <c r="F56">
        <f>IF(data_CLEAN!F56&lt;=SCORE_METHOD!$E$7,SCORE_METHOD!$N$6,IF(data_CLEAN!F56&lt;=SCORE_METHOD!$E$8,SCORE_METHOD!$N$7,SCORE_METHOD!$N$8))</f>
        <v>3</v>
      </c>
      <c r="G56">
        <f>IF(data_CLEAN!G56&lt;=SCORE_METHOD!$F$7,SCORE_METHOD!$N$6,IF(data_CLEAN!G56&lt;=SCORE_METHOD!$F$8,SCORE_METHOD!$N$7,SCORE_METHOD!$N$8))</f>
        <v>3</v>
      </c>
      <c r="H56">
        <f>VLOOKUP(data_CLEAN!H56,SCORE_METHOD!$A$13:$B$15,2,FALSE)</f>
        <v>3</v>
      </c>
      <c r="I56">
        <f>VLOOKUP(data_CLEAN!I56,SCORE_METHOD!$A$13:$C$15,3,FALSE)</f>
        <v>1</v>
      </c>
      <c r="J56">
        <f>VLOOKUP(data_CLEAN!J56,SCORE_METHOD!$A$13:$D$15,4,FALSE)</f>
        <v>1</v>
      </c>
      <c r="K56">
        <f>VLOOKUP(data_CLEAN!K56,SCORE_METHOD!$A$13:$E$15,5,FALSE)</f>
        <v>1</v>
      </c>
      <c r="L56">
        <f>VLOOKUP(data_CLEAN!L56,SCORE_METHOD!$A$19:$B$21,2,FALSE)</f>
        <v>1</v>
      </c>
      <c r="M56">
        <f>IF(data_CLEAN!M56&lt;=SCORE_METHOD!$G$7,SCORE_METHOD!$N$6,IF(data_CLEAN!M56&lt;=SCORE_METHOD!$G$8,SCORE_METHOD!$N$7,SCORE_METHOD!$N$8))</f>
        <v>2</v>
      </c>
      <c r="N56">
        <f>IF(data_CLEAN!N56&lt;=SCORE_METHOD!$H$7,SCORE_METHOD!$N$6,IF(data_CLEAN!N56&lt;=SCORE_METHOD!$H$8,SCORE_METHOD!$N$7,SCORE_METHOD!$N$8))</f>
        <v>2</v>
      </c>
      <c r="O56">
        <f>VLOOKUP(data_CLEAN!O56,SCORE_METHOD!$A$25:$C$26,3,FALSE)</f>
        <v>1</v>
      </c>
      <c r="P56">
        <f>IF(data_CLEAN!P56&lt;=SCORE_METHOD!$I$7,SCORE_METHOD!$N$6,IF(data_CLEAN!P56&lt;=SCORE_METHOD!$I$8,SCORE_METHOD!$N$7,SCORE_METHOD!$N$8))</f>
        <v>2</v>
      </c>
      <c r="Q56">
        <f>IF(data_CLEAN!Q56&lt;=SCORE_METHOD!$B$31,SCORE_METHOD!$C$30,IF(data_CLEAN!Q56&lt;=SCORE_METHOD!$B$32,SCORE_METHOD!$C$31,SCORE_METHOD!$C$32))</f>
        <v>2</v>
      </c>
      <c r="R56">
        <f>IF(data_CLEAN!R56&lt;=SCORE_METHOD!$J$7,SCORE_METHOD!$N$6,IF(data_CLEAN!S56&lt;=SCORE_METHOD!$J$8,SCORE_METHOD!$N$7,SCORE_METHOD!$N$8))</f>
        <v>2</v>
      </c>
      <c r="S56">
        <f>IF(data_CLEAN!S56&lt;=SCORE_METHOD!$D$31,SCORE_METHOD!$E$30,IF(data_CLEAN!S56&lt;=SCORE_METHOD!$D$32,SCORE_METHOD!$E$31,SCORE_METHOD!$E$32))</f>
        <v>1</v>
      </c>
      <c r="T56">
        <f>VLOOKUP(data_CLEAN!T56,SCORE_METHOD!$A$25:$E$26,5,FALSE)</f>
        <v>0</v>
      </c>
      <c r="U56">
        <f>IF(data_CLEAN!U56=1,SCORE_METHOD!$B$37,SCORE_METHOD!$B$38)</f>
        <v>0</v>
      </c>
      <c r="V56">
        <f>IF(data_CLEAN!V56&lt;=SCORE_METHOD!$K$7,SCORE_METHOD!$N$6,IF(data_CLEAN!V56&lt;=SCORE_METHOD!$K$8,SCORE_METHOD!$N$7,SCORE_METHOD!$N$8))</f>
        <v>2</v>
      </c>
      <c r="W56">
        <f>IF(data_CLEAN!W56&lt;=SCORE_METHOD!$L$7,SCORE_METHOD!$N$6,IF(data_CLEAN!W56&lt;=SCORE_METHOD!$L$8,SCORE_METHOD!$N$7,SCORE_METHOD!$N$8))</f>
        <v>3</v>
      </c>
      <c r="X56">
        <f>IF(data_CLEAN!X56&lt;=SCORE_METHOD!$M$7,SCORE_METHOD!$N$6,IF(data_CLEAN!X56&lt;=SCORE_METHOD!$M$8,SCORE_METHOD!$N$7,SCORE_METHOD!$N$8))</f>
        <v>3</v>
      </c>
      <c r="Y56">
        <f>VLOOKUP(data_CLEAN!Y56,SCORE_METHOD!$A$13:$F$15,6,FALSE)</f>
        <v>2</v>
      </c>
      <c r="Z56">
        <f>SUM(C56:L56)*SCORE_METHOD!$E$53</f>
        <v>2.2000000000000002</v>
      </c>
      <c r="AA56">
        <f>SUM(M56:N56)*SCORE_METHOD!$E$63</f>
        <v>2</v>
      </c>
      <c r="AB56">
        <f>SUM(O56:U56)*SCORE_METHOD!$E$65</f>
        <v>1.1428571428571428</v>
      </c>
      <c r="AC56">
        <f>SUM(V56:Y56)*SCORE_METHOD!$E$72</f>
        <v>2.5</v>
      </c>
      <c r="AD56">
        <f>Z56*SCORE_METHOD!$C$44+data_SCORING!AA56*SCORE_METHOD!$C$45+data_SCORING!AB56*SCORE_METHOD!$C$46+data_SCORING!AC56*SCORE_METHOD!$C$47</f>
        <v>1.9607142857142859</v>
      </c>
    </row>
    <row r="57" spans="1:30" x14ac:dyDescent="0.25">
      <c r="A57" t="s">
        <v>85</v>
      </c>
      <c r="B57">
        <v>169.551014127</v>
      </c>
      <c r="C57">
        <f>IF(data_CLEAN!C57&lt;=SCORE_METHOD!$B$7,SCORE_METHOD!$N$6,IF(data_CLEAN!C57&lt;=SCORE_METHOD!$B$8,SCORE_METHOD!$N$7,SCORE_METHOD!$N$8))</f>
        <v>1</v>
      </c>
      <c r="D57">
        <f>IF(data_CLEAN!D57&lt;=SCORE_METHOD!$C$7,SCORE_METHOD!$N$6,IF(data_CLEAN!D57&lt;=SCORE_METHOD!$C$8,SCORE_METHOD!$N$7,SCORE_METHOD!$N$8))</f>
        <v>1</v>
      </c>
      <c r="E57">
        <f>IF(data_CLEAN!E57&lt;=SCORE_METHOD!$D$7,SCORE_METHOD!$N$6,IF(data_CLEAN!E57&lt;=SCORE_METHOD!$D$8,SCORE_METHOD!$N$7,SCORE_METHOD!$N$8))</f>
        <v>2</v>
      </c>
      <c r="F57">
        <f>IF(data_CLEAN!F57&lt;=SCORE_METHOD!$E$7,SCORE_METHOD!$N$6,IF(data_CLEAN!F57&lt;=SCORE_METHOD!$E$8,SCORE_METHOD!$N$7,SCORE_METHOD!$N$8))</f>
        <v>3</v>
      </c>
      <c r="G57">
        <f>IF(data_CLEAN!G57&lt;=SCORE_METHOD!$F$7,SCORE_METHOD!$N$6,IF(data_CLEAN!G57&lt;=SCORE_METHOD!$F$8,SCORE_METHOD!$N$7,SCORE_METHOD!$N$8))</f>
        <v>3</v>
      </c>
      <c r="H57">
        <f>VLOOKUP(data_CLEAN!H57,SCORE_METHOD!$A$13:$B$15,2,FALSE)</f>
        <v>1</v>
      </c>
      <c r="I57">
        <f>VLOOKUP(data_CLEAN!I57,SCORE_METHOD!$A$13:$C$15,3,FALSE)</f>
        <v>3</v>
      </c>
      <c r="J57">
        <f>VLOOKUP(data_CLEAN!J57,SCORE_METHOD!$A$13:$D$15,4,FALSE)</f>
        <v>1</v>
      </c>
      <c r="K57">
        <f>VLOOKUP(data_CLEAN!K57,SCORE_METHOD!$A$13:$E$15,5,FALSE)</f>
        <v>3</v>
      </c>
      <c r="L57">
        <f>VLOOKUP(data_CLEAN!L57,SCORE_METHOD!$A$19:$B$21,2,FALSE)</f>
        <v>2</v>
      </c>
      <c r="M57">
        <f>IF(data_CLEAN!M57&lt;=SCORE_METHOD!$G$7,SCORE_METHOD!$N$6,IF(data_CLEAN!M57&lt;=SCORE_METHOD!$G$8,SCORE_METHOD!$N$7,SCORE_METHOD!$N$8))</f>
        <v>3</v>
      </c>
      <c r="N57">
        <f>IF(data_CLEAN!N57&lt;=SCORE_METHOD!$H$7,SCORE_METHOD!$N$6,IF(data_CLEAN!N57&lt;=SCORE_METHOD!$H$8,SCORE_METHOD!$N$7,SCORE_METHOD!$N$8))</f>
        <v>3</v>
      </c>
      <c r="O57">
        <f>VLOOKUP(data_CLEAN!O57,SCORE_METHOD!$A$25:$C$26,3,FALSE)</f>
        <v>1</v>
      </c>
      <c r="P57">
        <f>IF(data_CLEAN!P57&lt;=SCORE_METHOD!$I$7,SCORE_METHOD!$N$6,IF(data_CLEAN!P57&lt;=SCORE_METHOD!$I$8,SCORE_METHOD!$N$7,SCORE_METHOD!$N$8))</f>
        <v>1</v>
      </c>
      <c r="Q57">
        <f>IF(data_CLEAN!Q57&lt;=SCORE_METHOD!$B$31,SCORE_METHOD!$C$30,IF(data_CLEAN!Q57&lt;=SCORE_METHOD!$B$32,SCORE_METHOD!$C$31,SCORE_METHOD!$C$32))</f>
        <v>2</v>
      </c>
      <c r="R57">
        <f>IF(data_CLEAN!R57&lt;=SCORE_METHOD!$J$7,SCORE_METHOD!$N$6,IF(data_CLEAN!S57&lt;=SCORE_METHOD!$J$8,SCORE_METHOD!$N$7,SCORE_METHOD!$N$8))</f>
        <v>2</v>
      </c>
      <c r="S57">
        <f>IF(data_CLEAN!S57&lt;=SCORE_METHOD!$D$31,SCORE_METHOD!$E$30,IF(data_CLEAN!S57&lt;=SCORE_METHOD!$D$32,SCORE_METHOD!$E$31,SCORE_METHOD!$E$32))</f>
        <v>2</v>
      </c>
      <c r="T57">
        <f>VLOOKUP(data_CLEAN!T57,SCORE_METHOD!$A$25:$E$26,5,FALSE)</f>
        <v>0</v>
      </c>
      <c r="U57">
        <f>IF(data_CLEAN!U57=1,SCORE_METHOD!$B$37,SCORE_METHOD!$B$38)</f>
        <v>0</v>
      </c>
      <c r="V57">
        <f>IF(data_CLEAN!V57&lt;=SCORE_METHOD!$K$7,SCORE_METHOD!$N$6,IF(data_CLEAN!V57&lt;=SCORE_METHOD!$K$8,SCORE_METHOD!$N$7,SCORE_METHOD!$N$8))</f>
        <v>1</v>
      </c>
      <c r="W57">
        <f>IF(data_CLEAN!W57&lt;=SCORE_METHOD!$L$7,SCORE_METHOD!$N$6,IF(data_CLEAN!W57&lt;=SCORE_METHOD!$L$8,SCORE_METHOD!$N$7,SCORE_METHOD!$N$8))</f>
        <v>3</v>
      </c>
      <c r="X57">
        <f>IF(data_CLEAN!X57&lt;=SCORE_METHOD!$M$7,SCORE_METHOD!$N$6,IF(data_CLEAN!X57&lt;=SCORE_METHOD!$M$8,SCORE_METHOD!$N$7,SCORE_METHOD!$N$8))</f>
        <v>3</v>
      </c>
      <c r="Y57">
        <f>VLOOKUP(data_CLEAN!Y57,SCORE_METHOD!$A$13:$F$15,6,FALSE)</f>
        <v>3</v>
      </c>
      <c r="Z57">
        <f>SUM(C57:L57)*SCORE_METHOD!$E$53</f>
        <v>2</v>
      </c>
      <c r="AA57">
        <f>SUM(M57:N57)*SCORE_METHOD!$E$63</f>
        <v>3</v>
      </c>
      <c r="AB57">
        <f>SUM(O57:U57)*SCORE_METHOD!$E$65</f>
        <v>1.1428571428571428</v>
      </c>
      <c r="AC57">
        <f>SUM(V57:Y57)*SCORE_METHOD!$E$72</f>
        <v>2.5</v>
      </c>
      <c r="AD57">
        <f>Z57*SCORE_METHOD!$C$44+data_SCORING!AA57*SCORE_METHOD!$C$45+data_SCORING!AB57*SCORE_METHOD!$C$46+data_SCORING!AC57*SCORE_METHOD!$C$47</f>
        <v>2.1607142857142856</v>
      </c>
    </row>
    <row r="58" spans="1:30" x14ac:dyDescent="0.25">
      <c r="A58" t="s">
        <v>86</v>
      </c>
      <c r="B58">
        <v>97.141262682700003</v>
      </c>
      <c r="C58">
        <f>IF(data_CLEAN!C58&lt;=SCORE_METHOD!$B$7,SCORE_METHOD!$N$6,IF(data_CLEAN!C58&lt;=SCORE_METHOD!$B$8,SCORE_METHOD!$N$7,SCORE_METHOD!$N$8))</f>
        <v>2</v>
      </c>
      <c r="D58">
        <f>IF(data_CLEAN!D58&lt;=SCORE_METHOD!$C$7,SCORE_METHOD!$N$6,IF(data_CLEAN!D58&lt;=SCORE_METHOD!$C$8,SCORE_METHOD!$N$7,SCORE_METHOD!$N$8))</f>
        <v>3</v>
      </c>
      <c r="E58">
        <f>IF(data_CLEAN!E58&lt;=SCORE_METHOD!$D$7,SCORE_METHOD!$N$6,IF(data_CLEAN!E58&lt;=SCORE_METHOD!$D$8,SCORE_METHOD!$N$7,SCORE_METHOD!$N$8))</f>
        <v>3</v>
      </c>
      <c r="F58">
        <f>IF(data_CLEAN!F58&lt;=SCORE_METHOD!$E$7,SCORE_METHOD!$N$6,IF(data_CLEAN!F58&lt;=SCORE_METHOD!$E$8,SCORE_METHOD!$N$7,SCORE_METHOD!$N$8))</f>
        <v>3</v>
      </c>
      <c r="G58">
        <f>IF(data_CLEAN!G58&lt;=SCORE_METHOD!$F$7,SCORE_METHOD!$N$6,IF(data_CLEAN!G58&lt;=SCORE_METHOD!$F$8,SCORE_METHOD!$N$7,SCORE_METHOD!$N$8))</f>
        <v>3</v>
      </c>
      <c r="H58">
        <f>VLOOKUP(data_CLEAN!H58,SCORE_METHOD!$A$13:$B$15,2,FALSE)</f>
        <v>3</v>
      </c>
      <c r="I58">
        <f>VLOOKUP(data_CLEAN!I58,SCORE_METHOD!$A$13:$C$15,3,FALSE)</f>
        <v>3</v>
      </c>
      <c r="J58">
        <f>VLOOKUP(data_CLEAN!J58,SCORE_METHOD!$A$13:$D$15,4,FALSE)</f>
        <v>3</v>
      </c>
      <c r="K58">
        <f>VLOOKUP(data_CLEAN!K58,SCORE_METHOD!$A$13:$E$15,5,FALSE)</f>
        <v>3</v>
      </c>
      <c r="L58">
        <f>VLOOKUP(data_CLEAN!L58,SCORE_METHOD!$A$19:$B$21,2,FALSE)</f>
        <v>2</v>
      </c>
      <c r="M58">
        <f>IF(data_CLEAN!M58&lt;=SCORE_METHOD!$G$7,SCORE_METHOD!$N$6,IF(data_CLEAN!M58&lt;=SCORE_METHOD!$G$8,SCORE_METHOD!$N$7,SCORE_METHOD!$N$8))</f>
        <v>2</v>
      </c>
      <c r="N58">
        <f>IF(data_CLEAN!N58&lt;=SCORE_METHOD!$H$7,SCORE_METHOD!$N$6,IF(data_CLEAN!N58&lt;=SCORE_METHOD!$H$8,SCORE_METHOD!$N$7,SCORE_METHOD!$N$8))</f>
        <v>3</v>
      </c>
      <c r="O58">
        <f>VLOOKUP(data_CLEAN!O58,SCORE_METHOD!$A$25:$C$26,3,FALSE)</f>
        <v>1</v>
      </c>
      <c r="P58">
        <f>IF(data_CLEAN!P58&lt;=SCORE_METHOD!$I$7,SCORE_METHOD!$N$6,IF(data_CLEAN!P58&lt;=SCORE_METHOD!$I$8,SCORE_METHOD!$N$7,SCORE_METHOD!$N$8))</f>
        <v>1</v>
      </c>
      <c r="Q58">
        <f>IF(data_CLEAN!Q58&lt;=SCORE_METHOD!$B$31,SCORE_METHOD!$C$30,IF(data_CLEAN!Q58&lt;=SCORE_METHOD!$B$32,SCORE_METHOD!$C$31,SCORE_METHOD!$C$32))</f>
        <v>1</v>
      </c>
      <c r="R58">
        <f>IF(data_CLEAN!R58&lt;=SCORE_METHOD!$J$7,SCORE_METHOD!$N$6,IF(data_CLEAN!S58&lt;=SCORE_METHOD!$J$8,SCORE_METHOD!$N$7,SCORE_METHOD!$N$8))</f>
        <v>2</v>
      </c>
      <c r="S58">
        <f>IF(data_CLEAN!S58&lt;=SCORE_METHOD!$D$31,SCORE_METHOD!$E$30,IF(data_CLEAN!S58&lt;=SCORE_METHOD!$D$32,SCORE_METHOD!$E$31,SCORE_METHOD!$E$32))</f>
        <v>3</v>
      </c>
      <c r="T58">
        <f>VLOOKUP(data_CLEAN!T58,SCORE_METHOD!$A$25:$E$26,5,FALSE)</f>
        <v>0</v>
      </c>
      <c r="U58">
        <f>IF(data_CLEAN!U58=1,SCORE_METHOD!$B$37,SCORE_METHOD!$B$38)</f>
        <v>1</v>
      </c>
      <c r="V58">
        <f>IF(data_CLEAN!V58&lt;=SCORE_METHOD!$K$7,SCORE_METHOD!$N$6,IF(data_CLEAN!V58&lt;=SCORE_METHOD!$K$8,SCORE_METHOD!$N$7,SCORE_METHOD!$N$8))</f>
        <v>1</v>
      </c>
      <c r="W58">
        <f>IF(data_CLEAN!W58&lt;=SCORE_METHOD!$L$7,SCORE_METHOD!$N$6,IF(data_CLEAN!W58&lt;=SCORE_METHOD!$L$8,SCORE_METHOD!$N$7,SCORE_METHOD!$N$8))</f>
        <v>2</v>
      </c>
      <c r="X58">
        <f>IF(data_CLEAN!X58&lt;=SCORE_METHOD!$M$7,SCORE_METHOD!$N$6,IF(data_CLEAN!X58&lt;=SCORE_METHOD!$M$8,SCORE_METHOD!$N$7,SCORE_METHOD!$N$8))</f>
        <v>2</v>
      </c>
      <c r="Y58">
        <f>VLOOKUP(data_CLEAN!Y58,SCORE_METHOD!$A$13:$F$15,6,FALSE)</f>
        <v>2</v>
      </c>
      <c r="Z58">
        <f>SUM(C58:L58)*SCORE_METHOD!$E$53</f>
        <v>2.8000000000000003</v>
      </c>
      <c r="AA58">
        <f>SUM(M58:N58)*SCORE_METHOD!$E$63</f>
        <v>2.5</v>
      </c>
      <c r="AB58">
        <f>SUM(O58:U58)*SCORE_METHOD!$E$65</f>
        <v>1.2857142857142856</v>
      </c>
      <c r="AC58">
        <f>SUM(V58:Y58)*SCORE_METHOD!$E$72</f>
        <v>1.75</v>
      </c>
      <c r="AD58">
        <f>Z58*SCORE_METHOD!$C$44+data_SCORING!AA58*SCORE_METHOD!$C$45+data_SCORING!AB58*SCORE_METHOD!$C$46+data_SCORING!AC58*SCORE_METHOD!$C$47</f>
        <v>2.0839285714285714</v>
      </c>
    </row>
  </sheetData>
  <autoFilter ref="A2:Y58" xr:uid="{B525D399-F4D5-45F0-8B82-D4C7EE7CED31}"/>
  <mergeCells count="4">
    <mergeCell ref="C1:L1"/>
    <mergeCell ref="M1:N1"/>
    <mergeCell ref="O1:U1"/>
    <mergeCell ref="V1:Y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177C5-493A-4F32-ACB5-4E188C9C693E}">
  <dimension ref="A1:N57"/>
  <sheetViews>
    <sheetView tabSelected="1" workbookViewId="0">
      <selection activeCell="A2" sqref="A2"/>
    </sheetView>
  </sheetViews>
  <sheetFormatPr defaultRowHeight="15" x14ac:dyDescent="0.25"/>
  <cols>
    <col min="1" max="1" width="25.28515625" customWidth="1"/>
    <col min="2" max="2" width="12" bestFit="1" customWidth="1"/>
    <col min="3" max="3" width="18.5703125" bestFit="1" customWidth="1"/>
    <col min="4" max="4" width="14.42578125" bestFit="1" customWidth="1"/>
    <col min="5" max="5" width="20.140625" bestFit="1" customWidth="1"/>
    <col min="6" max="6" width="23.85546875" bestFit="1" customWidth="1"/>
    <col min="7" max="7" width="12" bestFit="1" customWidth="1"/>
    <col min="9" max="9" width="21.5703125" customWidth="1"/>
    <col min="12" max="12" width="15.5703125" customWidth="1"/>
    <col min="13" max="13" width="16.28515625" customWidth="1"/>
  </cols>
  <sheetData>
    <row r="1" spans="1:14" x14ac:dyDescent="0.25">
      <c r="A1" t="s">
        <v>100</v>
      </c>
      <c r="B1" t="s">
        <v>95</v>
      </c>
      <c r="C1" t="s">
        <v>234</v>
      </c>
      <c r="D1" t="s">
        <v>235</v>
      </c>
      <c r="E1" t="s">
        <v>236</v>
      </c>
      <c r="F1" t="s">
        <v>237</v>
      </c>
      <c r="G1" t="s">
        <v>238</v>
      </c>
      <c r="H1" t="s">
        <v>253</v>
      </c>
      <c r="I1" t="s">
        <v>298</v>
      </c>
      <c r="J1" t="s">
        <v>299</v>
      </c>
      <c r="K1" t="s">
        <v>300</v>
      </c>
      <c r="L1" t="s">
        <v>306</v>
      </c>
      <c r="M1" t="s">
        <v>307</v>
      </c>
      <c r="N1" t="s">
        <v>101</v>
      </c>
    </row>
    <row r="2" spans="1:14" x14ac:dyDescent="0.25">
      <c r="A2" t="s">
        <v>64</v>
      </c>
      <c r="B2">
        <v>95.0268986208999</v>
      </c>
      <c r="C2">
        <v>1.6</v>
      </c>
      <c r="D2">
        <v>1</v>
      </c>
      <c r="E2">
        <v>1.4285714285714284</v>
      </c>
      <c r="F2">
        <v>1.25</v>
      </c>
      <c r="G2">
        <v>1.3196428571428571</v>
      </c>
      <c r="H2" t="s">
        <v>108</v>
      </c>
      <c r="I2">
        <v>3.1472760283264498</v>
      </c>
      <c r="J2">
        <v>2.4124289188575898</v>
      </c>
      <c r="K2">
        <v>5.6481793579727704</v>
      </c>
      <c r="L2" t="str">
        <f>IF(G2&lt;=SCORE_METHOD!$B$116,"Low",IF(data_MAPPING!G2&lt;=SCORE_METHOD!$C$116,"Medium","High"))</f>
        <v>Low</v>
      </c>
      <c r="M2" t="str">
        <f>IF(K2&lt;=SCORE_METHOD!$B$112,"Low",IF(data_MAPPING!K2&lt;=SCORE_METHOD!$C$112,"Medium","High"))</f>
        <v>Low</v>
      </c>
      <c r="N2" t="s">
        <v>148</v>
      </c>
    </row>
    <row r="3" spans="1:14" x14ac:dyDescent="0.25">
      <c r="A3" t="s">
        <v>45</v>
      </c>
      <c r="B3">
        <v>26.949391069800001</v>
      </c>
      <c r="C3">
        <v>1.8</v>
      </c>
      <c r="D3">
        <v>1</v>
      </c>
      <c r="E3">
        <v>1.7142857142857142</v>
      </c>
      <c r="F3">
        <v>1.25</v>
      </c>
      <c r="G3">
        <v>1.4410714285714286</v>
      </c>
      <c r="H3" t="s">
        <v>118</v>
      </c>
      <c r="I3">
        <v>3.7234378344332399</v>
      </c>
      <c r="J3">
        <v>2.6507947947551598</v>
      </c>
      <c r="K3">
        <v>6.2952041319554404</v>
      </c>
      <c r="L3" t="str">
        <f>IF(G3&lt;=SCORE_METHOD!$B$116,"Low",IF(data_MAPPING!G3&lt;=SCORE_METHOD!$C$116,"Medium","High"))</f>
        <v>Low</v>
      </c>
      <c r="M3" t="str">
        <f>IF(K3&lt;=SCORE_METHOD!$B$112,"Low",IF(data_MAPPING!K3&lt;=SCORE_METHOD!$C$112,"Medium","High"))</f>
        <v>Low</v>
      </c>
      <c r="N3" t="s">
        <v>123</v>
      </c>
    </row>
    <row r="4" spans="1:14" s="2" customFormat="1" x14ac:dyDescent="0.25">
      <c r="A4" s="2" t="s">
        <v>66</v>
      </c>
      <c r="B4" s="2">
        <v>42.901241016900002</v>
      </c>
      <c r="C4" s="2">
        <v>1.8</v>
      </c>
      <c r="D4" s="2">
        <v>1.5</v>
      </c>
      <c r="E4" s="2">
        <v>1.4285714285714284</v>
      </c>
      <c r="F4" s="2">
        <v>2</v>
      </c>
      <c r="G4" s="2">
        <v>1.6821428571428569</v>
      </c>
      <c r="H4" s="2" t="s">
        <v>106</v>
      </c>
      <c r="I4" s="2">
        <v>3.4583333333333299</v>
      </c>
      <c r="J4" s="2">
        <v>2.7111111111111099</v>
      </c>
      <c r="K4" s="2">
        <v>6.06944444444445</v>
      </c>
      <c r="L4" s="2" t="str">
        <f>IF(G4&lt;=SCORE_METHOD!$B$116,"Low",IF(data_MAPPING!G4&lt;=SCORE_METHOD!$C$116,"Medium","High"))</f>
        <v>Medium</v>
      </c>
      <c r="M4" s="2" t="str">
        <f>IF(K4&lt;=SCORE_METHOD!$B$112,"Low",IF(data_MAPPING!K4&lt;=SCORE_METHOD!$C$112,"Medium","High"))</f>
        <v>Low</v>
      </c>
      <c r="N4" s="2" t="s">
        <v>329</v>
      </c>
    </row>
    <row r="5" spans="1:14" x14ac:dyDescent="0.25">
      <c r="A5" t="s">
        <v>47</v>
      </c>
      <c r="B5">
        <v>42.291837041199898</v>
      </c>
      <c r="C5">
        <v>1.4000000000000001</v>
      </c>
      <c r="D5">
        <v>1</v>
      </c>
      <c r="E5">
        <v>1.7142857142857142</v>
      </c>
      <c r="F5">
        <v>2</v>
      </c>
      <c r="G5">
        <v>1.5285714285714287</v>
      </c>
      <c r="H5" t="s">
        <v>108</v>
      </c>
      <c r="I5">
        <v>2.8444312929403499</v>
      </c>
      <c r="J5">
        <v>2.7461905105387898</v>
      </c>
      <c r="K5">
        <v>5.6088888742303498</v>
      </c>
      <c r="L5" t="str">
        <f>IF(G5&lt;=SCORE_METHOD!$B$116,"Low",IF(data_MAPPING!G5&lt;=SCORE_METHOD!$C$116,"Medium","High"))</f>
        <v>Low</v>
      </c>
      <c r="M5" t="str">
        <f>IF(K5&lt;=SCORE_METHOD!$B$112,"Low",IF(data_MAPPING!K5&lt;=SCORE_METHOD!$C$112,"Medium","High"))</f>
        <v>Low</v>
      </c>
      <c r="N5" t="s">
        <v>125</v>
      </c>
    </row>
    <row r="6" spans="1:14" x14ac:dyDescent="0.25">
      <c r="A6" t="s">
        <v>36</v>
      </c>
      <c r="B6">
        <v>3.4067871411100001</v>
      </c>
      <c r="C6">
        <v>1.6</v>
      </c>
      <c r="D6">
        <v>2</v>
      </c>
      <c r="E6">
        <v>1.4285714285714284</v>
      </c>
      <c r="F6">
        <v>1.25</v>
      </c>
      <c r="G6">
        <v>1.5696428571428571</v>
      </c>
      <c r="H6" t="s">
        <v>106</v>
      </c>
      <c r="I6">
        <v>3.3333333333333299</v>
      </c>
      <c r="J6">
        <v>2.9777777777777801</v>
      </c>
      <c r="K6">
        <v>6.31111111111111</v>
      </c>
      <c r="L6" t="str">
        <f>IF(G6&lt;=SCORE_METHOD!$B$116,"Low",IF(data_MAPPING!G6&lt;=SCORE_METHOD!$C$116,"Medium","High"))</f>
        <v>Low</v>
      </c>
      <c r="M6" t="str">
        <f>IF(K6&lt;=SCORE_METHOD!$B$112,"Low",IF(data_MAPPING!K6&lt;=SCORE_METHOD!$C$112,"Medium","High"))</f>
        <v>Low</v>
      </c>
      <c r="N6" t="s">
        <v>113</v>
      </c>
    </row>
    <row r="7" spans="1:14" x14ac:dyDescent="0.25">
      <c r="A7" t="s">
        <v>82</v>
      </c>
      <c r="B7">
        <v>122.665972260999</v>
      </c>
      <c r="C7">
        <v>2.4000000000000004</v>
      </c>
      <c r="D7">
        <v>2</v>
      </c>
      <c r="E7">
        <v>1.4285714285714284</v>
      </c>
      <c r="F7">
        <v>1.75</v>
      </c>
      <c r="G7">
        <v>1.8946428571428573</v>
      </c>
      <c r="H7" t="s">
        <v>118</v>
      </c>
      <c r="I7">
        <v>3.1240259819781699</v>
      </c>
      <c r="J7">
        <v>3.3897326402666099</v>
      </c>
      <c r="K7">
        <v>6.6226642104898596</v>
      </c>
      <c r="L7" t="str">
        <f>IF(G7&lt;=SCORE_METHOD!$B$116,"Low",IF(data_MAPPING!G7&lt;=SCORE_METHOD!$C$116,"Medium","High"))</f>
        <v>High</v>
      </c>
      <c r="M7" t="str">
        <f>IF(K7&lt;=SCORE_METHOD!$B$112,"Low",IF(data_MAPPING!K7&lt;=SCORE_METHOD!$C$112,"Medium","High"))</f>
        <v>Low</v>
      </c>
      <c r="N7" t="s">
        <v>144</v>
      </c>
    </row>
    <row r="8" spans="1:14" x14ac:dyDescent="0.25">
      <c r="A8" t="s">
        <v>44</v>
      </c>
      <c r="B8">
        <v>4.2164203195200001</v>
      </c>
      <c r="C8">
        <v>1.8</v>
      </c>
      <c r="D8">
        <v>1.5</v>
      </c>
      <c r="E8">
        <v>1.7142857142857142</v>
      </c>
      <c r="F8">
        <v>2</v>
      </c>
      <c r="G8">
        <v>1.7535714285714286</v>
      </c>
      <c r="H8" t="s">
        <v>118</v>
      </c>
      <c r="I8">
        <v>5.2733511728608899</v>
      </c>
      <c r="J8">
        <v>3.4208629776817001</v>
      </c>
      <c r="K8">
        <v>8.6711979037506097</v>
      </c>
      <c r="L8" t="str">
        <f>IF(G8&lt;=SCORE_METHOD!$B$116,"Low",IF(data_MAPPING!G8&lt;=SCORE_METHOD!$C$116,"Medium","High"))</f>
        <v>Medium</v>
      </c>
      <c r="M8" t="str">
        <f>IF(K8&lt;=SCORE_METHOD!$B$112,"Low",IF(data_MAPPING!K8&lt;=SCORE_METHOD!$C$112,"Medium","High"))</f>
        <v>Medium</v>
      </c>
      <c r="N8" t="s">
        <v>122</v>
      </c>
    </row>
    <row r="9" spans="1:14" s="2" customFormat="1" x14ac:dyDescent="0.25">
      <c r="A9" s="2" t="s">
        <v>81</v>
      </c>
      <c r="B9" s="2">
        <v>195.19672245000001</v>
      </c>
      <c r="C9" s="2">
        <v>2</v>
      </c>
      <c r="D9" s="2">
        <v>3</v>
      </c>
      <c r="E9" s="2">
        <v>1.4285714285714284</v>
      </c>
      <c r="F9" s="2">
        <v>2.25</v>
      </c>
      <c r="G9" s="2">
        <v>2.1696428571428572</v>
      </c>
      <c r="H9" s="2" t="s">
        <v>108</v>
      </c>
      <c r="I9" s="2">
        <v>3.5075018687523101</v>
      </c>
      <c r="J9" s="2">
        <v>3.6399000145712601</v>
      </c>
      <c r="K9" s="2">
        <v>7.2092770918856797</v>
      </c>
      <c r="L9" s="2" t="str">
        <f>IF(G9&lt;=SCORE_METHOD!$B$116,"Low",IF(data_MAPPING!G9&lt;=SCORE_METHOD!$C$116,"Medium","High"))</f>
        <v>High</v>
      </c>
      <c r="M9" s="2" t="str">
        <f>IF(K9&lt;=SCORE_METHOD!$B$112,"Low",IF(data_MAPPING!K9&lt;=SCORE_METHOD!$C$112,"Medium","High"))</f>
        <v>Low</v>
      </c>
      <c r="N9" s="2" t="s">
        <v>295</v>
      </c>
    </row>
    <row r="10" spans="1:14" x14ac:dyDescent="0.25">
      <c r="A10" t="s">
        <v>50</v>
      </c>
      <c r="B10">
        <v>90.816483914100004</v>
      </c>
      <c r="C10">
        <v>2</v>
      </c>
      <c r="D10">
        <v>1.5</v>
      </c>
      <c r="E10">
        <v>1.2857142857142856</v>
      </c>
      <c r="F10">
        <v>2.5</v>
      </c>
      <c r="G10">
        <v>1.8214285714285714</v>
      </c>
      <c r="H10" t="s">
        <v>108</v>
      </c>
      <c r="I10">
        <v>3.8360053804533001</v>
      </c>
      <c r="J10">
        <v>3.7339468026957499</v>
      </c>
      <c r="K10">
        <v>7.61354614287188</v>
      </c>
      <c r="L10" t="str">
        <f>IF(G10&lt;=SCORE_METHOD!$B$116,"Low",IF(data_MAPPING!G10&lt;=SCORE_METHOD!$C$116,"Medium","High"))</f>
        <v>Medium</v>
      </c>
      <c r="M10" t="str">
        <f>IF(K10&lt;=SCORE_METHOD!$B$112,"Low",IF(data_MAPPING!K10&lt;=SCORE_METHOD!$C$112,"Medium","High"))</f>
        <v>Low</v>
      </c>
      <c r="N10" t="s">
        <v>317</v>
      </c>
    </row>
    <row r="11" spans="1:14" x14ac:dyDescent="0.25">
      <c r="A11" t="s">
        <v>74</v>
      </c>
      <c r="B11">
        <v>114.62000684900001</v>
      </c>
      <c r="C11">
        <v>2.2000000000000002</v>
      </c>
      <c r="D11">
        <v>3</v>
      </c>
      <c r="E11">
        <v>0.8571428571428571</v>
      </c>
      <c r="F11">
        <v>2.75</v>
      </c>
      <c r="G11">
        <v>2.2017857142857142</v>
      </c>
      <c r="H11" t="s">
        <v>108</v>
      </c>
      <c r="I11">
        <v>4.4517730934267199</v>
      </c>
      <c r="J11">
        <v>3.7645070714748599</v>
      </c>
      <c r="K11">
        <v>8.2690787067913103</v>
      </c>
      <c r="L11" t="str">
        <f>IF(G11&lt;=SCORE_METHOD!$B$116,"Low",IF(data_MAPPING!G11&lt;=SCORE_METHOD!$C$116,"Medium","High"))</f>
        <v>High</v>
      </c>
      <c r="M11" t="str">
        <f>IF(K11&lt;=SCORE_METHOD!$B$112,"Low",IF(data_MAPPING!K11&lt;=SCORE_METHOD!$C$112,"Medium","High"))</f>
        <v>Low</v>
      </c>
      <c r="N11" t="s">
        <v>263</v>
      </c>
    </row>
    <row r="12" spans="1:14" x14ac:dyDescent="0.25">
      <c r="A12" t="s">
        <v>42</v>
      </c>
      <c r="B12">
        <v>18.352812943499899</v>
      </c>
      <c r="C12">
        <v>1.7000000000000002</v>
      </c>
      <c r="D12">
        <v>1</v>
      </c>
      <c r="E12">
        <v>1.5714285714285714</v>
      </c>
      <c r="F12">
        <v>2.25</v>
      </c>
      <c r="G12">
        <v>1.6303571428571428</v>
      </c>
      <c r="H12" t="s">
        <v>118</v>
      </c>
      <c r="I12">
        <v>4.8327449501888298</v>
      </c>
      <c r="J12">
        <v>3.77261957037928</v>
      </c>
      <c r="K12">
        <v>8.7328848321828598</v>
      </c>
      <c r="L12" t="str">
        <f>IF(G12&lt;=SCORE_METHOD!$B$116,"Low",IF(data_MAPPING!G12&lt;=SCORE_METHOD!$C$116,"Medium","High"))</f>
        <v>Low</v>
      </c>
      <c r="M12" t="str">
        <f>IF(K12&lt;=SCORE_METHOD!$B$112,"Low",IF(data_MAPPING!K12&lt;=SCORE_METHOD!$C$112,"Medium","High"))</f>
        <v>Medium</v>
      </c>
      <c r="N12" t="s">
        <v>120</v>
      </c>
    </row>
    <row r="13" spans="1:14" x14ac:dyDescent="0.25">
      <c r="A13" t="s">
        <v>39</v>
      </c>
      <c r="B13">
        <v>20.004861967899899</v>
      </c>
      <c r="C13">
        <v>1.4000000000000001</v>
      </c>
      <c r="D13">
        <v>2</v>
      </c>
      <c r="E13">
        <v>1.5714285714285714</v>
      </c>
      <c r="F13">
        <v>2</v>
      </c>
      <c r="G13">
        <v>1.7428571428571429</v>
      </c>
      <c r="H13" t="s">
        <v>106</v>
      </c>
      <c r="I13">
        <v>4.5423863061659997</v>
      </c>
      <c r="J13">
        <v>3.81766399640127</v>
      </c>
      <c r="K13">
        <v>8.3156069804714807</v>
      </c>
      <c r="L13" t="str">
        <f>IF(G13&lt;=SCORE_METHOD!$B$116,"Low",IF(data_MAPPING!G13&lt;=SCORE_METHOD!$C$116,"Medium","High"))</f>
        <v>Medium</v>
      </c>
      <c r="M13" t="str">
        <f>IF(K13&lt;=SCORE_METHOD!$B$112,"Low",IF(data_MAPPING!K13&lt;=SCORE_METHOD!$C$112,"Medium","High"))</f>
        <v>Low</v>
      </c>
      <c r="N13" t="s">
        <v>116</v>
      </c>
    </row>
    <row r="14" spans="1:14" x14ac:dyDescent="0.25">
      <c r="A14" t="s">
        <v>51</v>
      </c>
      <c r="B14">
        <v>35.996736132800002</v>
      </c>
      <c r="C14">
        <v>1.8</v>
      </c>
      <c r="D14">
        <v>2.5</v>
      </c>
      <c r="E14">
        <v>1.4285714285714284</v>
      </c>
      <c r="F14">
        <v>1.75</v>
      </c>
      <c r="G14">
        <v>1.8696428571428569</v>
      </c>
      <c r="H14" t="s">
        <v>108</v>
      </c>
      <c r="I14">
        <v>3.52597150391097</v>
      </c>
      <c r="J14">
        <v>3.9362873822781399</v>
      </c>
      <c r="K14">
        <v>7.5559547708761201</v>
      </c>
      <c r="L14" t="str">
        <f>IF(G14&lt;=SCORE_METHOD!$B$116,"Low",IF(data_MAPPING!G14&lt;=SCORE_METHOD!$C$116,"Medium","High"))</f>
        <v>High</v>
      </c>
      <c r="M14" t="str">
        <f>IF(K14&lt;=SCORE_METHOD!$B$112,"Low",IF(data_MAPPING!K14&lt;=SCORE_METHOD!$C$112,"Medium","High"))</f>
        <v>Low</v>
      </c>
      <c r="N14" t="s">
        <v>318</v>
      </c>
    </row>
    <row r="15" spans="1:14" x14ac:dyDescent="0.25">
      <c r="A15" t="s">
        <v>34</v>
      </c>
      <c r="B15">
        <v>97.643793810199895</v>
      </c>
      <c r="C15">
        <v>1.8</v>
      </c>
      <c r="D15">
        <v>1.5</v>
      </c>
      <c r="E15">
        <v>1.7142857142857142</v>
      </c>
      <c r="F15">
        <v>2</v>
      </c>
      <c r="G15">
        <v>1.7535714285714286</v>
      </c>
      <c r="H15" t="s">
        <v>106</v>
      </c>
      <c r="I15">
        <v>4.2912267641406103</v>
      </c>
      <c r="J15">
        <v>3.9593850797263799</v>
      </c>
      <c r="K15">
        <v>8.3797626767806399</v>
      </c>
      <c r="L15" t="str">
        <f>IF(G15&lt;=SCORE_METHOD!$B$116,"Low",IF(data_MAPPING!G15&lt;=SCORE_METHOD!$C$116,"Medium","High"))</f>
        <v>Medium</v>
      </c>
      <c r="M15" t="str">
        <f>IF(K15&lt;=SCORE_METHOD!$B$112,"Low",IF(data_MAPPING!K15&lt;=SCORE_METHOD!$C$112,"Medium","High"))</f>
        <v>Medium</v>
      </c>
      <c r="N15" t="s">
        <v>111</v>
      </c>
    </row>
    <row r="16" spans="1:14" x14ac:dyDescent="0.25">
      <c r="A16" t="s">
        <v>85</v>
      </c>
      <c r="B16">
        <v>169.551014127</v>
      </c>
      <c r="C16">
        <v>2</v>
      </c>
      <c r="D16">
        <v>3</v>
      </c>
      <c r="E16">
        <v>1.1428571428571428</v>
      </c>
      <c r="F16">
        <v>2.5</v>
      </c>
      <c r="G16">
        <v>2.1607142857142856</v>
      </c>
      <c r="H16" t="s">
        <v>108</v>
      </c>
      <c r="I16">
        <v>5.1151189581565104</v>
      </c>
      <c r="J16">
        <v>4.1874377677755197</v>
      </c>
      <c r="K16">
        <v>9.3462807991376504</v>
      </c>
      <c r="L16" t="str">
        <f>IF(G16&lt;=SCORE_METHOD!$B$116,"Low",IF(data_MAPPING!G16&lt;=SCORE_METHOD!$C$116,"Medium","High"))</f>
        <v>High</v>
      </c>
      <c r="M16" t="str">
        <f>IF(K16&lt;=SCORE_METHOD!$B$112,"Low",IF(data_MAPPING!K16&lt;=SCORE_METHOD!$C$112,"Medium","High"))</f>
        <v>Medium</v>
      </c>
      <c r="N16" t="s">
        <v>145</v>
      </c>
    </row>
    <row r="17" spans="1:14" s="2" customFormat="1" x14ac:dyDescent="0.25">
      <c r="A17" s="2" t="s">
        <v>52</v>
      </c>
      <c r="B17" s="2">
        <v>56.3240863179999</v>
      </c>
      <c r="C17" s="2">
        <v>1</v>
      </c>
      <c r="D17" s="2">
        <v>3</v>
      </c>
      <c r="E17" s="2">
        <v>1.7142857142857142</v>
      </c>
      <c r="F17" s="2">
        <v>1.75</v>
      </c>
      <c r="G17" s="2">
        <v>1.8660714285714286</v>
      </c>
      <c r="H17" s="2" t="s">
        <v>106</v>
      </c>
      <c r="I17" s="2">
        <v>4.4776605315806703</v>
      </c>
      <c r="J17" s="2">
        <v>4.2522676611259698</v>
      </c>
      <c r="K17" s="2">
        <v>8.8751018466907308</v>
      </c>
      <c r="L17" s="2" t="str">
        <f>IF(G17&lt;=SCORE_METHOD!$B$116,"Low",IF(data_MAPPING!G17&lt;=SCORE_METHOD!$C$116,"Medium","High"))</f>
        <v>Medium</v>
      </c>
      <c r="M17" s="2" t="str">
        <f>IF(K17&lt;=SCORE_METHOD!$B$112,"Low",IF(data_MAPPING!K17&lt;=SCORE_METHOD!$C$112,"Medium","High"))</f>
        <v>Medium</v>
      </c>
      <c r="N17" s="2" t="s">
        <v>326</v>
      </c>
    </row>
    <row r="18" spans="1:14" s="2" customFormat="1" x14ac:dyDescent="0.25">
      <c r="A18" s="2" t="s">
        <v>142</v>
      </c>
      <c r="B18" s="2">
        <v>34.463288233299899</v>
      </c>
      <c r="C18" s="2">
        <v>2</v>
      </c>
      <c r="D18" s="2">
        <v>2.5</v>
      </c>
      <c r="E18" s="2">
        <v>1.1428571428571428</v>
      </c>
      <c r="F18" s="2">
        <v>2</v>
      </c>
      <c r="G18" s="2">
        <v>1.9107142857142856</v>
      </c>
      <c r="H18" s="2" t="s">
        <v>108</v>
      </c>
      <c r="I18" s="2">
        <v>4.4184725206345004</v>
      </c>
      <c r="J18" s="2">
        <v>4.2802790257878698</v>
      </c>
      <c r="K18" s="2">
        <v>8.6801308633645498</v>
      </c>
      <c r="L18" s="2" t="str">
        <f>IF(G18&lt;=SCORE_METHOD!$B$116,"Low",IF(data_MAPPING!G18&lt;=SCORE_METHOD!$C$116,"Medium","High"))</f>
        <v>High</v>
      </c>
      <c r="M18" s="2" t="str">
        <f>IF(K18&lt;=SCORE_METHOD!$B$112,"Low",IF(data_MAPPING!K18&lt;=SCORE_METHOD!$C$112,"Medium","High"))</f>
        <v>Medium</v>
      </c>
      <c r="N18" s="2" t="s">
        <v>327</v>
      </c>
    </row>
    <row r="19" spans="1:14" s="2" customFormat="1" x14ac:dyDescent="0.25">
      <c r="A19" s="2" t="s">
        <v>67</v>
      </c>
      <c r="B19" s="2">
        <v>20.8341330292</v>
      </c>
      <c r="C19" s="2">
        <v>2.4000000000000004</v>
      </c>
      <c r="D19" s="2">
        <v>1.5</v>
      </c>
      <c r="E19" s="2">
        <v>1</v>
      </c>
      <c r="F19" s="2">
        <v>2</v>
      </c>
      <c r="G19" s="2">
        <v>1.7250000000000001</v>
      </c>
      <c r="H19" s="2" t="s">
        <v>106</v>
      </c>
      <c r="I19" s="2">
        <v>6.01669429658706</v>
      </c>
      <c r="J19" s="2">
        <v>4.3051283471743602</v>
      </c>
      <c r="K19" s="2">
        <v>10.310452253802</v>
      </c>
      <c r="L19" s="2" t="str">
        <f>IF(G19&lt;=SCORE_METHOD!$B$116,"Low",IF(data_MAPPING!G19&lt;=SCORE_METHOD!$C$116,"Medium","High"))</f>
        <v>Medium</v>
      </c>
      <c r="M19" s="2" t="str">
        <f>IF(K19&lt;=SCORE_METHOD!$B$112,"Low",IF(data_MAPPING!K19&lt;=SCORE_METHOD!$C$112,"Medium","High"))</f>
        <v>High</v>
      </c>
      <c r="N19" s="2" t="s">
        <v>330</v>
      </c>
    </row>
    <row r="20" spans="1:14" x14ac:dyDescent="0.25">
      <c r="A20" t="s">
        <v>40</v>
      </c>
      <c r="B20">
        <v>76.142924098199899</v>
      </c>
      <c r="C20">
        <v>1.1000000000000001</v>
      </c>
      <c r="D20">
        <v>2</v>
      </c>
      <c r="E20">
        <v>1.5714285714285714</v>
      </c>
      <c r="F20">
        <v>2.25</v>
      </c>
      <c r="G20">
        <v>1.7303571428571429</v>
      </c>
      <c r="H20" t="s">
        <v>106</v>
      </c>
      <c r="I20">
        <v>3.4992701273120699</v>
      </c>
      <c r="J20">
        <v>4.313728569976</v>
      </c>
      <c r="K20">
        <v>7.8822738777675303</v>
      </c>
      <c r="L20" t="str">
        <f>IF(G20&lt;=SCORE_METHOD!$B$116,"Low",IF(data_MAPPING!G20&lt;=SCORE_METHOD!$C$116,"Medium","High"))</f>
        <v>Medium</v>
      </c>
      <c r="M20" t="str">
        <f>IF(K20&lt;=SCORE_METHOD!$B$112,"Low",IF(data_MAPPING!K20&lt;=SCORE_METHOD!$C$112,"Medium","High"))</f>
        <v>Low</v>
      </c>
      <c r="N20" t="s">
        <v>117</v>
      </c>
    </row>
    <row r="21" spans="1:14" x14ac:dyDescent="0.25">
      <c r="A21" t="s">
        <v>76</v>
      </c>
      <c r="B21">
        <v>168.085317269</v>
      </c>
      <c r="C21">
        <v>2.3000000000000003</v>
      </c>
      <c r="D21">
        <v>2</v>
      </c>
      <c r="E21">
        <v>1.5714285714285714</v>
      </c>
      <c r="F21">
        <v>1.75</v>
      </c>
      <c r="G21">
        <v>1.905357142857143</v>
      </c>
      <c r="H21" t="s">
        <v>108</v>
      </c>
      <c r="I21">
        <v>3.9878234673272401</v>
      </c>
      <c r="J21">
        <v>4.3410342148535497</v>
      </c>
      <c r="K21">
        <v>8.4049344413746301</v>
      </c>
      <c r="L21" t="str">
        <f>IF(G21&lt;=SCORE_METHOD!$B$116,"Low",IF(data_MAPPING!G21&lt;=SCORE_METHOD!$C$116,"Medium","High"))</f>
        <v>High</v>
      </c>
      <c r="M21" t="str">
        <f>IF(K21&lt;=SCORE_METHOD!$B$112,"Low",IF(data_MAPPING!K21&lt;=SCORE_METHOD!$C$112,"Medium","High"))</f>
        <v>Medium</v>
      </c>
      <c r="N21" t="s">
        <v>319</v>
      </c>
    </row>
    <row r="22" spans="1:14" x14ac:dyDescent="0.25">
      <c r="A22" t="s">
        <v>86</v>
      </c>
      <c r="B22">
        <v>97.141262682700003</v>
      </c>
      <c r="C22">
        <v>2.8000000000000003</v>
      </c>
      <c r="D22">
        <v>2.5</v>
      </c>
      <c r="E22">
        <v>1.2857142857142856</v>
      </c>
      <c r="F22">
        <v>1.75</v>
      </c>
      <c r="G22">
        <v>2.0839285714285714</v>
      </c>
      <c r="H22" t="s">
        <v>108</v>
      </c>
      <c r="I22">
        <v>3.4716351455200098</v>
      </c>
      <c r="J22">
        <v>4.3555306807529304</v>
      </c>
      <c r="K22">
        <v>7.8801904442002098</v>
      </c>
      <c r="L22" t="str">
        <f>IF(G22&lt;=SCORE_METHOD!$B$116,"Low",IF(data_MAPPING!G22&lt;=SCORE_METHOD!$C$116,"Medium","High"))</f>
        <v>High</v>
      </c>
      <c r="M22" t="str">
        <f>IF(K22&lt;=SCORE_METHOD!$B$112,"Low",IF(data_MAPPING!K22&lt;=SCORE_METHOD!$C$112,"Medium","High"))</f>
        <v>Low</v>
      </c>
      <c r="N22" t="s">
        <v>146</v>
      </c>
    </row>
    <row r="23" spans="1:14" x14ac:dyDescent="0.25">
      <c r="A23" t="s">
        <v>35</v>
      </c>
      <c r="B23">
        <v>76.826502077599898</v>
      </c>
      <c r="C23">
        <v>1.2000000000000002</v>
      </c>
      <c r="D23">
        <v>2.5</v>
      </c>
      <c r="E23">
        <v>1.7142857142857142</v>
      </c>
      <c r="F23">
        <v>1.75</v>
      </c>
      <c r="G23">
        <v>1.7910714285714286</v>
      </c>
      <c r="H23" t="s">
        <v>106</v>
      </c>
      <c r="I23">
        <v>3.1099701395552999</v>
      </c>
      <c r="J23">
        <v>4.3667239926268699</v>
      </c>
      <c r="K23">
        <v>7.5357983957416304</v>
      </c>
      <c r="L23" t="str">
        <f>IF(G23&lt;=SCORE_METHOD!$B$116,"Low",IF(data_MAPPING!G23&lt;=SCORE_METHOD!$C$116,"Medium","High"))</f>
        <v>Medium</v>
      </c>
      <c r="M23" t="str">
        <f>IF(K23&lt;=SCORE_METHOD!$B$112,"Low",IF(data_MAPPING!K23&lt;=SCORE_METHOD!$C$112,"Medium","High"))</f>
        <v>Low</v>
      </c>
      <c r="N23" t="s">
        <v>112</v>
      </c>
    </row>
    <row r="24" spans="1:14" x14ac:dyDescent="0.25">
      <c r="A24" t="s">
        <v>43</v>
      </c>
      <c r="B24">
        <v>44.268066668400003</v>
      </c>
      <c r="C24">
        <v>1.7000000000000002</v>
      </c>
      <c r="D24">
        <v>1</v>
      </c>
      <c r="E24">
        <v>1.7142857142857142</v>
      </c>
      <c r="F24">
        <v>1</v>
      </c>
      <c r="G24">
        <v>1.3535714285714286</v>
      </c>
      <c r="H24" t="s">
        <v>106</v>
      </c>
      <c r="I24">
        <v>3.1641874020646701</v>
      </c>
      <c r="J24">
        <v>4.5020440390842804</v>
      </c>
      <c r="K24">
        <v>7.6005973356547196</v>
      </c>
      <c r="L24" t="str">
        <f>IF(G24&lt;=SCORE_METHOD!$B$116,"Low",IF(data_MAPPING!G24&lt;=SCORE_METHOD!$C$116,"Medium","High"))</f>
        <v>Low</v>
      </c>
      <c r="M24" t="str">
        <f>IF(K24&lt;=SCORE_METHOD!$B$112,"Low",IF(data_MAPPING!K24&lt;=SCORE_METHOD!$C$112,"Medium","High"))</f>
        <v>Low</v>
      </c>
      <c r="N24" t="s">
        <v>121</v>
      </c>
    </row>
    <row r="25" spans="1:14" x14ac:dyDescent="0.25">
      <c r="A25" t="s">
        <v>37</v>
      </c>
      <c r="B25">
        <v>27.275757023800001</v>
      </c>
      <c r="C25">
        <v>1.4000000000000001</v>
      </c>
      <c r="D25">
        <v>2</v>
      </c>
      <c r="E25">
        <v>1.5714285714285714</v>
      </c>
      <c r="F25">
        <v>2</v>
      </c>
      <c r="G25">
        <v>1.7428571428571429</v>
      </c>
      <c r="H25" t="s">
        <v>106</v>
      </c>
      <c r="I25">
        <v>4.3628167741649104</v>
      </c>
      <c r="J25">
        <v>4.6113600633839402</v>
      </c>
      <c r="K25">
        <v>9.0771549234860007</v>
      </c>
      <c r="L25" t="str">
        <f>IF(G25&lt;=SCORE_METHOD!$B$116,"Low",IF(data_MAPPING!G25&lt;=SCORE_METHOD!$C$116,"Medium","High"))</f>
        <v>Medium</v>
      </c>
      <c r="M25" t="str">
        <f>IF(K25&lt;=SCORE_METHOD!$B$112,"Low",IF(data_MAPPING!K25&lt;=SCORE_METHOD!$C$112,"Medium","High"))</f>
        <v>Medium</v>
      </c>
      <c r="N25" t="s">
        <v>114</v>
      </c>
    </row>
    <row r="26" spans="1:14" x14ac:dyDescent="0.25">
      <c r="A26" t="s">
        <v>55</v>
      </c>
      <c r="B26">
        <v>76.8165697300999</v>
      </c>
      <c r="C26">
        <v>2</v>
      </c>
      <c r="D26">
        <v>1</v>
      </c>
      <c r="E26">
        <v>1.4285714285714284</v>
      </c>
      <c r="F26">
        <v>2.75</v>
      </c>
      <c r="G26">
        <v>1.7946428571428572</v>
      </c>
      <c r="H26" t="s">
        <v>118</v>
      </c>
      <c r="I26">
        <v>3.5790416448975799</v>
      </c>
      <c r="J26">
        <v>4.6554437747872397</v>
      </c>
      <c r="K26">
        <v>8.2971016602477796</v>
      </c>
      <c r="L26" t="str">
        <f>IF(G26&lt;=SCORE_METHOD!$B$116,"Low",IF(data_MAPPING!G26&lt;=SCORE_METHOD!$C$116,"Medium","High"))</f>
        <v>Medium</v>
      </c>
      <c r="M26" t="str">
        <f>IF(K26&lt;=SCORE_METHOD!$B$112,"Low",IF(data_MAPPING!K26&lt;=SCORE_METHOD!$C$112,"Medium","High"))</f>
        <v>Low</v>
      </c>
      <c r="N26" t="s">
        <v>320</v>
      </c>
    </row>
    <row r="27" spans="1:14" x14ac:dyDescent="0.25">
      <c r="A27" t="s">
        <v>56</v>
      </c>
      <c r="B27">
        <v>75.904228896299898</v>
      </c>
      <c r="C27">
        <v>1.6</v>
      </c>
      <c r="D27">
        <v>2</v>
      </c>
      <c r="E27">
        <v>1.1428571428571428</v>
      </c>
      <c r="F27">
        <v>2.25</v>
      </c>
      <c r="G27">
        <v>1.7482142857142857</v>
      </c>
      <c r="H27" t="s">
        <v>106</v>
      </c>
      <c r="I27">
        <v>4.9954319144745201</v>
      </c>
      <c r="J27">
        <v>4.6781994775229503</v>
      </c>
      <c r="K27">
        <v>9.6799581093591005</v>
      </c>
      <c r="L27" t="str">
        <f>IF(G27&lt;=SCORE_METHOD!$B$116,"Low",IF(data_MAPPING!G27&lt;=SCORE_METHOD!$C$116,"Medium","High"))</f>
        <v>Medium</v>
      </c>
      <c r="M27" t="str">
        <f>IF(K27&lt;=SCORE_METHOD!$B$112,"Low",IF(data_MAPPING!K27&lt;=SCORE_METHOD!$C$112,"Medium","High"))</f>
        <v>Medium</v>
      </c>
      <c r="N27" t="s">
        <v>321</v>
      </c>
    </row>
    <row r="28" spans="1:14" x14ac:dyDescent="0.25">
      <c r="A28" t="s">
        <v>62</v>
      </c>
      <c r="B28">
        <v>21.4947777289999</v>
      </c>
      <c r="C28">
        <v>2</v>
      </c>
      <c r="D28">
        <v>1</v>
      </c>
      <c r="E28">
        <v>0.8571428571428571</v>
      </c>
      <c r="F28">
        <v>1</v>
      </c>
      <c r="G28">
        <v>1.2142857142857144</v>
      </c>
      <c r="H28" t="s">
        <v>106</v>
      </c>
      <c r="I28">
        <v>5.3442637198049701</v>
      </c>
      <c r="J28">
        <v>4.7167966840925297</v>
      </c>
      <c r="K28">
        <v>10.0784444257134</v>
      </c>
      <c r="L28" t="str">
        <f>IF(G28&lt;=SCORE_METHOD!$B$116,"Low",IF(data_MAPPING!G28&lt;=SCORE_METHOD!$C$116,"Medium","High"))</f>
        <v>Low</v>
      </c>
      <c r="M28" t="str">
        <f>IF(K28&lt;=SCORE_METHOD!$B$112,"Low",IF(data_MAPPING!K28&lt;=SCORE_METHOD!$C$112,"Medium","High"))</f>
        <v>Medium</v>
      </c>
      <c r="N28" t="s">
        <v>135</v>
      </c>
    </row>
    <row r="29" spans="1:14" x14ac:dyDescent="0.25">
      <c r="A29" t="s">
        <v>71</v>
      </c>
      <c r="B29">
        <v>21.489188390100001</v>
      </c>
      <c r="C29">
        <v>1.7000000000000002</v>
      </c>
      <c r="D29">
        <v>2</v>
      </c>
      <c r="E29">
        <v>1</v>
      </c>
      <c r="F29">
        <v>1.5</v>
      </c>
      <c r="G29">
        <v>1.55</v>
      </c>
      <c r="H29" t="s">
        <v>118</v>
      </c>
      <c r="I29">
        <v>5.9893102905842799</v>
      </c>
      <c r="J29">
        <v>4.8926650466791104</v>
      </c>
      <c r="K29">
        <v>10.898091052232401</v>
      </c>
      <c r="L29" t="str">
        <f>IF(G29&lt;=SCORE_METHOD!$B$116,"Low",IF(data_MAPPING!G29&lt;=SCORE_METHOD!$C$116,"Medium","High"))</f>
        <v>Low</v>
      </c>
      <c r="M29" t="str">
        <f>IF(K29&lt;=SCORE_METHOD!$B$112,"Low",IF(data_MAPPING!K29&lt;=SCORE_METHOD!$C$112,"Medium","High"))</f>
        <v>High</v>
      </c>
      <c r="N29" t="s">
        <v>338</v>
      </c>
    </row>
    <row r="30" spans="1:14" s="2" customFormat="1" x14ac:dyDescent="0.25">
      <c r="A30" s="2" t="s">
        <v>59</v>
      </c>
      <c r="B30" s="2">
        <v>16.3123234551</v>
      </c>
      <c r="C30" s="2">
        <v>1.4000000000000001</v>
      </c>
      <c r="D30" s="2">
        <v>2</v>
      </c>
      <c r="E30" s="2">
        <v>1.2857142857142856</v>
      </c>
      <c r="F30" s="2">
        <v>2.25</v>
      </c>
      <c r="G30" s="2">
        <v>1.7339285714285715</v>
      </c>
      <c r="H30" s="2" t="s">
        <v>106</v>
      </c>
      <c r="I30" s="2">
        <v>5.8138288344534699</v>
      </c>
      <c r="J30" s="2">
        <v>4.9050698182603396</v>
      </c>
      <c r="K30" s="2">
        <v>10.6506449485967</v>
      </c>
      <c r="L30" s="2" t="str">
        <f>IF(G30&lt;=SCORE_METHOD!$B$116,"Low",IF(data_MAPPING!G30&lt;=SCORE_METHOD!$C$116,"Medium","High"))</f>
        <v>Medium</v>
      </c>
      <c r="M30" s="2" t="str">
        <f>IF(K30&lt;=SCORE_METHOD!$B$112,"Low",IF(data_MAPPING!K30&lt;=SCORE_METHOD!$C$112,"Medium","High"))</f>
        <v>High</v>
      </c>
      <c r="N30" s="2" t="s">
        <v>331</v>
      </c>
    </row>
    <row r="31" spans="1:14" x14ac:dyDescent="0.25">
      <c r="A31" t="s">
        <v>38</v>
      </c>
      <c r="B31">
        <v>60.320465667299899</v>
      </c>
      <c r="C31">
        <v>1.7000000000000002</v>
      </c>
      <c r="D31">
        <v>1.5</v>
      </c>
      <c r="E31">
        <v>1.5714285714285714</v>
      </c>
      <c r="F31">
        <v>2.25</v>
      </c>
      <c r="G31">
        <v>1.7553571428571428</v>
      </c>
      <c r="H31" t="s">
        <v>106</v>
      </c>
      <c r="I31">
        <v>3.2998169752365798</v>
      </c>
      <c r="J31">
        <v>4.9933084522401403</v>
      </c>
      <c r="K31">
        <v>8.3694733655690907</v>
      </c>
      <c r="L31" t="str">
        <f>IF(G31&lt;=SCORE_METHOD!$B$116,"Low",IF(data_MAPPING!G31&lt;=SCORE_METHOD!$C$116,"Medium","High"))</f>
        <v>Medium</v>
      </c>
      <c r="M31" t="str">
        <f>IF(K31&lt;=SCORE_METHOD!$B$112,"Low",IF(data_MAPPING!K31&lt;=SCORE_METHOD!$C$112,"Medium","High"))</f>
        <v>Low</v>
      </c>
      <c r="N31" t="s">
        <v>115</v>
      </c>
    </row>
    <row r="32" spans="1:14" x14ac:dyDescent="0.25">
      <c r="A32" t="s">
        <v>41</v>
      </c>
      <c r="B32">
        <v>41.656805026699899</v>
      </c>
      <c r="C32">
        <v>2</v>
      </c>
      <c r="D32">
        <v>1</v>
      </c>
      <c r="E32">
        <v>1.5714285714285714</v>
      </c>
      <c r="F32">
        <v>1.5</v>
      </c>
      <c r="G32">
        <v>1.5178571428571428</v>
      </c>
      <c r="H32" t="s">
        <v>118</v>
      </c>
      <c r="I32">
        <v>3.8570580346666201</v>
      </c>
      <c r="J32">
        <v>5.0141737083992997</v>
      </c>
      <c r="K32">
        <v>9.0954702664536793</v>
      </c>
      <c r="L32" t="str">
        <f>IF(G32&lt;=SCORE_METHOD!$B$116,"Low",IF(data_MAPPING!G32&lt;=SCORE_METHOD!$C$116,"Medium","High"))</f>
        <v>Low</v>
      </c>
      <c r="M32" t="str">
        <f>IF(K32&lt;=SCORE_METHOD!$B$112,"Low",IF(data_MAPPING!K32&lt;=SCORE_METHOD!$C$112,"Medium","High"))</f>
        <v>Medium</v>
      </c>
      <c r="N32" t="s">
        <v>119</v>
      </c>
    </row>
    <row r="33" spans="1:14" x14ac:dyDescent="0.25">
      <c r="A33" t="s">
        <v>58</v>
      </c>
      <c r="B33">
        <v>16.2004129271</v>
      </c>
      <c r="C33">
        <v>2</v>
      </c>
      <c r="D33">
        <v>2.5</v>
      </c>
      <c r="E33">
        <v>1.2857142857142856</v>
      </c>
      <c r="F33">
        <v>1.75</v>
      </c>
      <c r="G33">
        <v>1.8839285714285714</v>
      </c>
      <c r="H33" t="s">
        <v>106</v>
      </c>
      <c r="I33">
        <v>5.8111512537812997</v>
      </c>
      <c r="J33">
        <v>5.0190068010942204</v>
      </c>
      <c r="K33">
        <v>10.7658084437035</v>
      </c>
      <c r="L33" t="str">
        <f>IF(G33&lt;=SCORE_METHOD!$B$116,"Low",IF(data_MAPPING!G33&lt;=SCORE_METHOD!$C$116,"Medium","High"))</f>
        <v>High</v>
      </c>
      <c r="M33" t="str">
        <f>IF(K33&lt;=SCORE_METHOD!$B$112,"Low",IF(data_MAPPING!K33&lt;=SCORE_METHOD!$C$112,"Medium","High"))</f>
        <v>High</v>
      </c>
      <c r="N33" t="s">
        <v>132</v>
      </c>
    </row>
    <row r="34" spans="1:14" s="2" customFormat="1" x14ac:dyDescent="0.25">
      <c r="A34" s="2" t="s">
        <v>65</v>
      </c>
      <c r="B34" s="2">
        <v>44.3952689889</v>
      </c>
      <c r="C34" s="2">
        <v>1.4000000000000001</v>
      </c>
      <c r="D34" s="2">
        <v>2</v>
      </c>
      <c r="E34" s="2">
        <v>1.5714285714285714</v>
      </c>
      <c r="F34" s="2">
        <v>1.5</v>
      </c>
      <c r="G34" s="2">
        <v>1.6178571428571429</v>
      </c>
      <c r="H34" s="2" t="s">
        <v>106</v>
      </c>
      <c r="I34" s="2">
        <v>4.8133791220099003</v>
      </c>
      <c r="J34" s="2">
        <v>5.0388847964731296</v>
      </c>
      <c r="K34" s="2">
        <v>9.8862651030165498</v>
      </c>
      <c r="L34" s="2" t="str">
        <f>IF(G34&lt;=SCORE_METHOD!$B$116,"Low",IF(data_MAPPING!G34&lt;=SCORE_METHOD!$C$116,"Medium","High"))</f>
        <v>Low</v>
      </c>
      <c r="M34" s="2" t="str">
        <f>IF(K34&lt;=SCORE_METHOD!$B$112,"Low",IF(data_MAPPING!K34&lt;=SCORE_METHOD!$C$112,"Medium","High"))</f>
        <v>Medium</v>
      </c>
      <c r="N34" s="2" t="s">
        <v>328</v>
      </c>
    </row>
    <row r="35" spans="1:14" x14ac:dyDescent="0.25">
      <c r="A35" t="s">
        <v>54</v>
      </c>
      <c r="B35">
        <v>41.542048884700002</v>
      </c>
      <c r="C35">
        <v>1.6</v>
      </c>
      <c r="D35">
        <v>1.5</v>
      </c>
      <c r="E35">
        <v>1.4285714285714284</v>
      </c>
      <c r="F35">
        <v>2</v>
      </c>
      <c r="G35">
        <v>1.6321428571428571</v>
      </c>
      <c r="H35" t="s">
        <v>106</v>
      </c>
      <c r="I35">
        <v>4.96781735327313</v>
      </c>
      <c r="J35">
        <v>5.0505861656492099</v>
      </c>
      <c r="K35">
        <v>9.9996749624145895</v>
      </c>
      <c r="L35" t="str">
        <f>IF(G35&lt;=SCORE_METHOD!$B$116,"Low",IF(data_MAPPING!G35&lt;=SCORE_METHOD!$C$116,"Medium","High"))</f>
        <v>Low</v>
      </c>
      <c r="M35" t="str">
        <f>IF(K35&lt;=SCORE_METHOD!$B$112,"Low",IF(data_MAPPING!K35&lt;=SCORE_METHOD!$C$112,"Medium","High"))</f>
        <v>Medium</v>
      </c>
      <c r="N35" t="s">
        <v>322</v>
      </c>
    </row>
    <row r="36" spans="1:14" s="2" customFormat="1" x14ac:dyDescent="0.25">
      <c r="A36" s="2" t="s">
        <v>49</v>
      </c>
      <c r="B36" s="2">
        <v>20.2626475462</v>
      </c>
      <c r="C36" s="2">
        <v>1.4000000000000001</v>
      </c>
      <c r="D36" s="2">
        <v>1.5</v>
      </c>
      <c r="E36" s="2">
        <v>1.1428571428571428</v>
      </c>
      <c r="F36" s="2">
        <v>2.25</v>
      </c>
      <c r="G36" s="2">
        <v>1.5732142857142857</v>
      </c>
      <c r="H36" s="2" t="s">
        <v>118</v>
      </c>
      <c r="I36" s="2">
        <v>5.2432890559948797</v>
      </c>
      <c r="J36" s="2">
        <v>5.0525066024341996</v>
      </c>
      <c r="K36" s="2">
        <v>10.3435817856756</v>
      </c>
      <c r="L36" s="2" t="str">
        <f>IF(G36&lt;=SCORE_METHOD!$B$116,"Low",IF(data_MAPPING!G36&lt;=SCORE_METHOD!$C$116,"Medium","High"))</f>
        <v>Low</v>
      </c>
      <c r="M36" s="2" t="str">
        <f>IF(K36&lt;=SCORE_METHOD!$B$112,"Low",IF(data_MAPPING!K36&lt;=SCORE_METHOD!$C$112,"Medium","High"))</f>
        <v>High</v>
      </c>
      <c r="N36" s="2" t="s">
        <v>333</v>
      </c>
    </row>
    <row r="37" spans="1:14" s="2" customFormat="1" x14ac:dyDescent="0.25">
      <c r="A37" s="2" t="s">
        <v>48</v>
      </c>
      <c r="B37" s="2">
        <v>182.860403915999</v>
      </c>
      <c r="C37" s="2">
        <v>1.4000000000000001</v>
      </c>
      <c r="D37" s="2">
        <v>2.5</v>
      </c>
      <c r="E37" s="2">
        <v>1.5714285714285714</v>
      </c>
      <c r="F37" s="2">
        <v>2.75</v>
      </c>
      <c r="G37" s="2">
        <v>2.0553571428571429</v>
      </c>
      <c r="H37" s="2" t="s">
        <v>106</v>
      </c>
      <c r="I37" s="2">
        <v>4.3186246249061204</v>
      </c>
      <c r="J37" s="2">
        <v>5.0674489181876696</v>
      </c>
      <c r="K37" s="2">
        <v>9.5003937491904598</v>
      </c>
      <c r="L37" s="2" t="str">
        <f>IF(G37&lt;=SCORE_METHOD!$B$116,"Low",IF(data_MAPPING!G37&lt;=SCORE_METHOD!$C$116,"Medium","High"))</f>
        <v>High</v>
      </c>
      <c r="M37" s="2" t="str">
        <f>IF(K37&lt;=SCORE_METHOD!$B$112,"Low",IF(data_MAPPING!K37&lt;=SCORE_METHOD!$C$112,"Medium","High"))</f>
        <v>Medium</v>
      </c>
      <c r="N37" s="2" t="s">
        <v>332</v>
      </c>
    </row>
    <row r="38" spans="1:14" s="2" customFormat="1" x14ac:dyDescent="0.25">
      <c r="A38" s="2" t="s">
        <v>80</v>
      </c>
      <c r="B38" s="2">
        <v>206.581413717</v>
      </c>
      <c r="C38" s="2">
        <v>2.3000000000000003</v>
      </c>
      <c r="D38" s="2">
        <v>3</v>
      </c>
      <c r="E38" s="2">
        <v>1</v>
      </c>
      <c r="F38" s="2">
        <v>2.75</v>
      </c>
      <c r="G38" s="2">
        <v>2.2625000000000002</v>
      </c>
      <c r="H38" s="2" t="s">
        <v>118</v>
      </c>
      <c r="I38" s="2">
        <v>5.7460382667797303</v>
      </c>
      <c r="J38" s="2">
        <v>5.0892689453948101</v>
      </c>
      <c r="K38" s="2">
        <v>10.9182996598096</v>
      </c>
      <c r="L38" s="2" t="str">
        <f>IF(G38&lt;=SCORE_METHOD!$B$116,"Low",IF(data_MAPPING!G38&lt;=SCORE_METHOD!$C$116,"Medium","High"))</f>
        <v>High</v>
      </c>
      <c r="M38" s="2" t="str">
        <f>IF(K38&lt;=SCORE_METHOD!$B$112,"Low",IF(data_MAPPING!K38&lt;=SCORE_METHOD!$C$112,"Medium","High"))</f>
        <v>High</v>
      </c>
      <c r="N38" s="2" t="s">
        <v>293</v>
      </c>
    </row>
    <row r="39" spans="1:14" x14ac:dyDescent="0.25">
      <c r="A39" t="s">
        <v>61</v>
      </c>
      <c r="B39">
        <v>23.3867259365</v>
      </c>
      <c r="C39">
        <v>1.9000000000000001</v>
      </c>
      <c r="D39">
        <v>1</v>
      </c>
      <c r="E39">
        <v>1.1428571428571428</v>
      </c>
      <c r="F39">
        <v>2.25</v>
      </c>
      <c r="G39">
        <v>1.5732142857142857</v>
      </c>
      <c r="H39" t="s">
        <v>106</v>
      </c>
      <c r="I39">
        <v>3.7748137293749799</v>
      </c>
      <c r="J39">
        <v>5.1181555208758303</v>
      </c>
      <c r="K39">
        <v>8.9503948084574407</v>
      </c>
      <c r="L39" t="str">
        <f>IF(G39&lt;=SCORE_METHOD!$B$116,"Low",IF(data_MAPPING!G39&lt;=SCORE_METHOD!$C$116,"Medium","High"))</f>
        <v>Low</v>
      </c>
      <c r="M39" t="str">
        <f>IF(K39&lt;=SCORE_METHOD!$B$112,"Low",IF(data_MAPPING!K39&lt;=SCORE_METHOD!$C$112,"Medium","High"))</f>
        <v>Medium</v>
      </c>
      <c r="N39" t="s">
        <v>134</v>
      </c>
    </row>
    <row r="40" spans="1:14" x14ac:dyDescent="0.25">
      <c r="A40" t="s">
        <v>31</v>
      </c>
      <c r="B40">
        <v>19.5548964086999</v>
      </c>
      <c r="C40">
        <v>2.4000000000000004</v>
      </c>
      <c r="D40">
        <v>1.5</v>
      </c>
      <c r="E40">
        <v>1.4285714285714284</v>
      </c>
      <c r="F40">
        <v>1.25</v>
      </c>
      <c r="G40">
        <v>1.6446428571428573</v>
      </c>
      <c r="H40" t="s">
        <v>108</v>
      </c>
      <c r="I40">
        <v>3.01506882733432</v>
      </c>
      <c r="J40">
        <v>5.1435252984854802</v>
      </c>
      <c r="K40">
        <v>8.3583528957249094</v>
      </c>
      <c r="L40" t="str">
        <f>IF(G40&lt;=SCORE_METHOD!$B$116,"Low",IF(data_MAPPING!G40&lt;=SCORE_METHOD!$C$116,"Medium","High"))</f>
        <v>Medium</v>
      </c>
      <c r="M40" t="str">
        <f>IF(K40&lt;=SCORE_METHOD!$B$112,"Low",IF(data_MAPPING!K40&lt;=SCORE_METHOD!$C$112,"Medium","High"))</f>
        <v>Low</v>
      </c>
      <c r="N40" t="s">
        <v>109</v>
      </c>
    </row>
    <row r="41" spans="1:14" x14ac:dyDescent="0.25">
      <c r="A41" t="s">
        <v>72</v>
      </c>
      <c r="B41">
        <v>97.960131788799899</v>
      </c>
      <c r="C41">
        <v>2.3000000000000003</v>
      </c>
      <c r="D41">
        <v>2.5</v>
      </c>
      <c r="E41">
        <v>1.2857142857142856</v>
      </c>
      <c r="F41">
        <v>2.75</v>
      </c>
      <c r="G41">
        <v>2.2089285714285714</v>
      </c>
      <c r="H41" t="s">
        <v>118</v>
      </c>
      <c r="I41">
        <v>5.1709078853269697</v>
      </c>
      <c r="J41">
        <v>5.1594692385595202</v>
      </c>
      <c r="K41">
        <v>10.2802206338116</v>
      </c>
      <c r="L41" t="str">
        <f>IF(G41&lt;=SCORE_METHOD!$B$116,"Low",IF(data_MAPPING!G41&lt;=SCORE_METHOD!$C$116,"Medium","High"))</f>
        <v>High</v>
      </c>
      <c r="M41" t="str">
        <f>IF(K41&lt;=SCORE_METHOD!$B$112,"Low",IF(data_MAPPING!K41&lt;=SCORE_METHOD!$C$112,"Medium","High"))</f>
        <v>High</v>
      </c>
      <c r="N41" t="s">
        <v>262</v>
      </c>
    </row>
    <row r="42" spans="1:14" s="2" customFormat="1" x14ac:dyDescent="0.25">
      <c r="A42" s="2" t="s">
        <v>53</v>
      </c>
      <c r="B42" s="2">
        <v>43.110311660000001</v>
      </c>
      <c r="C42" s="2">
        <v>2.4000000000000004</v>
      </c>
      <c r="D42" s="2">
        <v>3</v>
      </c>
      <c r="E42" s="2">
        <v>1</v>
      </c>
      <c r="F42" s="2">
        <v>2.25</v>
      </c>
      <c r="G42" s="2">
        <v>2.1625000000000001</v>
      </c>
      <c r="H42" s="2" t="s">
        <v>106</v>
      </c>
      <c r="I42" s="2">
        <v>5.42565452685038</v>
      </c>
      <c r="J42" s="2">
        <v>5.1621233753224303</v>
      </c>
      <c r="K42" s="2">
        <v>10.597119349480099</v>
      </c>
      <c r="L42" s="2" t="str">
        <f>IF(G42&lt;=SCORE_METHOD!$B$116,"Low",IF(data_MAPPING!G42&lt;=SCORE_METHOD!$C$116,"Medium","High"))</f>
        <v>High</v>
      </c>
      <c r="M42" s="2" t="str">
        <f>IF(K42&lt;=SCORE_METHOD!$B$112,"Low",IF(data_MAPPING!K42&lt;=SCORE_METHOD!$C$112,"Medium","High"))</f>
        <v>High</v>
      </c>
      <c r="N42" s="2" t="s">
        <v>296</v>
      </c>
    </row>
    <row r="43" spans="1:14" x14ac:dyDescent="0.25">
      <c r="A43" t="s">
        <v>63</v>
      </c>
      <c r="B43">
        <v>56.814608672299897</v>
      </c>
      <c r="C43">
        <v>1.4000000000000001</v>
      </c>
      <c r="D43">
        <v>2.5</v>
      </c>
      <c r="E43">
        <v>1.1428571428571428</v>
      </c>
      <c r="F43">
        <v>1.75</v>
      </c>
      <c r="G43">
        <v>1.6982142857142857</v>
      </c>
      <c r="H43" t="s">
        <v>106</v>
      </c>
      <c r="I43">
        <v>5.3681220920335297</v>
      </c>
      <c r="J43">
        <v>5.20892068047125</v>
      </c>
      <c r="K43">
        <v>10.6509732173021</v>
      </c>
      <c r="L43" t="str">
        <f>IF(G43&lt;=SCORE_METHOD!$B$116,"Low",IF(data_MAPPING!G43&lt;=SCORE_METHOD!$C$116,"Medium","High"))</f>
        <v>Medium</v>
      </c>
      <c r="M43" t="str">
        <f>IF(K43&lt;=SCORE_METHOD!$B$112,"Low",IF(data_MAPPING!K43&lt;=SCORE_METHOD!$C$112,"Medium","High"))</f>
        <v>High</v>
      </c>
      <c r="N43" t="s">
        <v>136</v>
      </c>
    </row>
    <row r="44" spans="1:14" s="2" customFormat="1" x14ac:dyDescent="0.25">
      <c r="A44" s="2" t="s">
        <v>60</v>
      </c>
      <c r="B44" s="2">
        <v>84.428982097299894</v>
      </c>
      <c r="C44" s="2">
        <v>2.3000000000000003</v>
      </c>
      <c r="D44" s="2">
        <v>3</v>
      </c>
      <c r="E44" s="2">
        <v>1.4285714285714284</v>
      </c>
      <c r="F44" s="2">
        <v>2.5</v>
      </c>
      <c r="G44" s="2">
        <v>2.3071428571428574</v>
      </c>
      <c r="H44" s="2" t="s">
        <v>118</v>
      </c>
      <c r="I44" s="2">
        <v>6.0364748156282904</v>
      </c>
      <c r="J44" s="2">
        <v>5.3382526133504102</v>
      </c>
      <c r="K44" s="2">
        <v>11.317135841328</v>
      </c>
      <c r="L44" s="2" t="str">
        <f>IF(G44&lt;=SCORE_METHOD!$B$116,"Low",IF(data_MAPPING!G44&lt;=SCORE_METHOD!$C$116,"Medium","High"))</f>
        <v>High</v>
      </c>
      <c r="M44" s="2" t="str">
        <f>IF(K44&lt;=SCORE_METHOD!$B$112,"Low",IF(data_MAPPING!K44&lt;=SCORE_METHOD!$C$112,"Medium","High"))</f>
        <v>High</v>
      </c>
      <c r="N44" s="2" t="s">
        <v>292</v>
      </c>
    </row>
    <row r="45" spans="1:14" s="2" customFormat="1" x14ac:dyDescent="0.25">
      <c r="A45" s="2" t="s">
        <v>79</v>
      </c>
      <c r="B45" s="107">
        <v>190.605222900999</v>
      </c>
      <c r="C45" s="2">
        <v>2.5</v>
      </c>
      <c r="D45" s="2">
        <v>3</v>
      </c>
      <c r="E45" s="2">
        <v>1</v>
      </c>
      <c r="F45" s="2">
        <v>2.75</v>
      </c>
      <c r="G45" s="2">
        <v>2.3125</v>
      </c>
      <c r="H45" s="2" t="s">
        <v>118</v>
      </c>
      <c r="I45" s="2">
        <v>5.3188844490389604</v>
      </c>
      <c r="J45" s="2">
        <v>5.4729558012533701</v>
      </c>
      <c r="K45" s="2">
        <v>10.879752512584799</v>
      </c>
      <c r="L45" s="2" t="str">
        <f>IF(G45&lt;=SCORE_METHOD!$B$116,"Low",IF(data_MAPPING!G45&lt;=SCORE_METHOD!$C$116,"Medium","High"))</f>
        <v>High</v>
      </c>
      <c r="M45" s="2" t="str">
        <f>IF(K45&lt;=SCORE_METHOD!$B$112,"Low",IF(data_MAPPING!K45&lt;=SCORE_METHOD!$C$112,"Medium","High"))</f>
        <v>High</v>
      </c>
      <c r="N45" s="2" t="s">
        <v>291</v>
      </c>
    </row>
    <row r="46" spans="1:14" x14ac:dyDescent="0.25">
      <c r="A46" t="s">
        <v>33</v>
      </c>
      <c r="B46">
        <v>13.9860489811</v>
      </c>
      <c r="C46">
        <v>1.4000000000000001</v>
      </c>
      <c r="D46">
        <v>2</v>
      </c>
      <c r="E46">
        <v>1.857142857142857</v>
      </c>
      <c r="F46">
        <v>2</v>
      </c>
      <c r="G46">
        <v>1.8142857142857143</v>
      </c>
      <c r="H46" t="s">
        <v>106</v>
      </c>
      <c r="I46">
        <v>4.25</v>
      </c>
      <c r="J46">
        <v>5.4783036767675402</v>
      </c>
      <c r="K46">
        <v>9.8868419284005</v>
      </c>
      <c r="L46" t="str">
        <f>IF(G46&lt;=SCORE_METHOD!$B$116,"Low",IF(data_MAPPING!G46&lt;=SCORE_METHOD!$C$116,"Medium","High"))</f>
        <v>Medium</v>
      </c>
      <c r="M46" t="str">
        <f>IF(K46&lt;=SCORE_METHOD!$B$112,"Low",IF(data_MAPPING!K46&lt;=SCORE_METHOD!$C$112,"Medium","High"))</f>
        <v>Medium</v>
      </c>
      <c r="N46" t="s">
        <v>110</v>
      </c>
    </row>
    <row r="47" spans="1:14" s="2" customFormat="1" x14ac:dyDescent="0.25">
      <c r="A47" s="2" t="s">
        <v>83</v>
      </c>
      <c r="B47" s="2">
        <v>123.780828525</v>
      </c>
      <c r="C47" s="2">
        <v>2.1</v>
      </c>
      <c r="D47" s="2">
        <v>3</v>
      </c>
      <c r="E47" s="2">
        <v>1.1428571428571428</v>
      </c>
      <c r="F47" s="2">
        <v>1.5</v>
      </c>
      <c r="G47" s="2">
        <v>1.9357142857142855</v>
      </c>
      <c r="H47" s="2" t="s">
        <v>118</v>
      </c>
      <c r="I47" s="2">
        <v>4.86644547877885</v>
      </c>
      <c r="J47" s="2">
        <v>5.4917535899976802</v>
      </c>
      <c r="K47" s="2">
        <v>10.433474203753301</v>
      </c>
      <c r="L47" s="2" t="str">
        <f>IF(G47&lt;=SCORE_METHOD!$B$116,"Low",IF(data_MAPPING!G47&lt;=SCORE_METHOD!$C$116,"Medium","High"))</f>
        <v>High</v>
      </c>
      <c r="M47" s="2" t="str">
        <f>IF(K47&lt;=SCORE_METHOD!$B$112,"Low",IF(data_MAPPING!K47&lt;=SCORE_METHOD!$C$112,"Medium","High"))</f>
        <v>High</v>
      </c>
      <c r="N47" s="2" t="s">
        <v>334</v>
      </c>
    </row>
    <row r="48" spans="1:14" x14ac:dyDescent="0.25">
      <c r="A48" t="s">
        <v>46</v>
      </c>
      <c r="B48">
        <v>4.1639821022800003</v>
      </c>
      <c r="C48">
        <v>1.5</v>
      </c>
      <c r="D48">
        <v>1.5</v>
      </c>
      <c r="E48">
        <v>1.1428571428571428</v>
      </c>
      <c r="F48">
        <v>1.5</v>
      </c>
      <c r="G48">
        <v>1.4107142857142856</v>
      </c>
      <c r="H48" t="s">
        <v>108</v>
      </c>
      <c r="I48">
        <v>3.1681705757502501</v>
      </c>
      <c r="J48">
        <v>5.5897645171161896</v>
      </c>
      <c r="K48">
        <v>8.9806008399560397</v>
      </c>
      <c r="L48" t="str">
        <f>IF(G48&lt;=SCORE_METHOD!$B$116,"Low",IF(data_MAPPING!G48&lt;=SCORE_METHOD!$C$116,"Medium","High"))</f>
        <v>Low</v>
      </c>
      <c r="M48" t="str">
        <f>IF(K48&lt;=SCORE_METHOD!$B$112,"Low",IF(data_MAPPING!K48&lt;=SCORE_METHOD!$C$112,"Medium","High"))</f>
        <v>Medium</v>
      </c>
      <c r="N48" t="s">
        <v>124</v>
      </c>
    </row>
    <row r="49" spans="1:14" x14ac:dyDescent="0.25">
      <c r="A49" t="s">
        <v>73</v>
      </c>
      <c r="B49">
        <v>107.274382185999</v>
      </c>
      <c r="C49">
        <v>2.1</v>
      </c>
      <c r="D49">
        <v>2</v>
      </c>
      <c r="E49">
        <v>0.8571428571428571</v>
      </c>
      <c r="F49">
        <v>2.5</v>
      </c>
      <c r="G49">
        <v>1.8642857142857141</v>
      </c>
      <c r="H49" t="s">
        <v>106</v>
      </c>
      <c r="I49">
        <v>5.1937883314835398</v>
      </c>
      <c r="J49">
        <v>5.6008816159877401</v>
      </c>
      <c r="K49">
        <v>10.883453597196301</v>
      </c>
      <c r="L49" t="str">
        <f>IF(G49&lt;=SCORE_METHOD!$B$116,"Low",IF(data_MAPPING!G49&lt;=SCORE_METHOD!$C$116,"Medium","High"))</f>
        <v>Medium</v>
      </c>
      <c r="M49" t="str">
        <f>IF(K49&lt;=SCORE_METHOD!$B$112,"Low",IF(data_MAPPING!K49&lt;=SCORE_METHOD!$C$112,"Medium","High"))</f>
        <v>High</v>
      </c>
      <c r="N49" t="s">
        <v>323</v>
      </c>
    </row>
    <row r="50" spans="1:14" x14ac:dyDescent="0.25">
      <c r="A50" t="s">
        <v>57</v>
      </c>
      <c r="B50">
        <v>24.2876317204</v>
      </c>
      <c r="C50">
        <v>2.2000000000000002</v>
      </c>
      <c r="D50">
        <v>3</v>
      </c>
      <c r="E50">
        <v>1</v>
      </c>
      <c r="F50">
        <v>2</v>
      </c>
      <c r="G50">
        <v>2.0499999999999998</v>
      </c>
      <c r="H50" t="s">
        <v>106</v>
      </c>
      <c r="I50">
        <v>5.2718013391626304</v>
      </c>
      <c r="J50">
        <v>5.6026443098301897</v>
      </c>
      <c r="K50">
        <v>10.9189878166705</v>
      </c>
      <c r="L50" t="str">
        <f>IF(G50&lt;=SCORE_METHOD!$B$116,"Low",IF(data_MAPPING!G50&lt;=SCORE_METHOD!$C$116,"Medium","High"))</f>
        <v>High</v>
      </c>
      <c r="M50" t="str">
        <f>IF(K50&lt;=SCORE_METHOD!$B$112,"Low",IF(data_MAPPING!K50&lt;=SCORE_METHOD!$C$112,"Medium","High"))</f>
        <v>High</v>
      </c>
      <c r="N50" t="s">
        <v>131</v>
      </c>
    </row>
    <row r="51" spans="1:14" x14ac:dyDescent="0.25">
      <c r="A51" t="s">
        <v>68</v>
      </c>
      <c r="B51">
        <v>12.0349357255</v>
      </c>
      <c r="C51">
        <v>1.6</v>
      </c>
      <c r="D51">
        <v>1</v>
      </c>
      <c r="E51">
        <v>1</v>
      </c>
      <c r="F51">
        <v>1.25</v>
      </c>
      <c r="G51">
        <v>1.2124999999999999</v>
      </c>
      <c r="H51" t="s">
        <v>118</v>
      </c>
      <c r="I51">
        <v>5.9575816177873104</v>
      </c>
      <c r="J51">
        <v>5.68870176630573</v>
      </c>
      <c r="K51">
        <v>11.8245569304335</v>
      </c>
      <c r="L51" t="str">
        <f>IF(G51&lt;=SCORE_METHOD!$B$116,"Low",IF(data_MAPPING!G51&lt;=SCORE_METHOD!$C$116,"Medium","High"))</f>
        <v>Low</v>
      </c>
      <c r="M51" t="str">
        <f>IF(K51&lt;=SCORE_METHOD!$B$112,"Low",IF(data_MAPPING!K51&lt;=SCORE_METHOD!$C$112,"Medium","High"))</f>
        <v>High</v>
      </c>
      <c r="N51" t="s">
        <v>324</v>
      </c>
    </row>
    <row r="52" spans="1:14" s="2" customFormat="1" x14ac:dyDescent="0.25">
      <c r="A52" s="2" t="s">
        <v>84</v>
      </c>
      <c r="B52" s="2">
        <v>96.577199252</v>
      </c>
      <c r="C52" s="2">
        <v>2.2000000000000002</v>
      </c>
      <c r="D52" s="2">
        <v>2</v>
      </c>
      <c r="E52" s="2">
        <v>1.1428571428571428</v>
      </c>
      <c r="F52" s="2">
        <v>2.5</v>
      </c>
      <c r="G52" s="2">
        <v>1.9607142857142859</v>
      </c>
      <c r="H52" s="2" t="s">
        <v>118</v>
      </c>
      <c r="I52" s="2">
        <v>5.84254038600477</v>
      </c>
      <c r="J52" s="2">
        <v>6.0750332749748504</v>
      </c>
      <c r="K52" s="2">
        <v>11.895505804586101</v>
      </c>
      <c r="L52" s="2" t="str">
        <f>IF(G52&lt;=SCORE_METHOD!$B$116,"Low",IF(data_MAPPING!G52&lt;=SCORE_METHOD!$C$116,"Medium","High"))</f>
        <v>High</v>
      </c>
      <c r="M52" s="2" t="str">
        <f>IF(K52&lt;=SCORE_METHOD!$B$112,"Low",IF(data_MAPPING!K52&lt;=SCORE_METHOD!$C$112,"Medium","High"))</f>
        <v>High</v>
      </c>
      <c r="N52" s="2" t="s">
        <v>335</v>
      </c>
    </row>
    <row r="53" spans="1:14" s="2" customFormat="1" x14ac:dyDescent="0.25">
      <c r="A53" s="2" t="s">
        <v>77</v>
      </c>
      <c r="B53" s="2">
        <v>108.143126791</v>
      </c>
      <c r="C53" s="2">
        <v>2.8000000000000003</v>
      </c>
      <c r="D53" s="2">
        <v>2.5</v>
      </c>
      <c r="E53" s="2">
        <v>1.1428571428571428</v>
      </c>
      <c r="F53" s="2">
        <v>2.5</v>
      </c>
      <c r="G53" s="2">
        <v>2.2357142857142858</v>
      </c>
      <c r="H53" s="2" t="s">
        <v>106</v>
      </c>
      <c r="I53" s="2">
        <v>5.18181213983563</v>
      </c>
      <c r="J53" s="2">
        <v>6.0785566159836097</v>
      </c>
      <c r="K53" s="2">
        <v>11.291641354368601</v>
      </c>
      <c r="L53" s="2" t="str">
        <f>IF(G53&lt;=SCORE_METHOD!$B$116,"Low",IF(data_MAPPING!G53&lt;=SCORE_METHOD!$C$116,"Medium","High"))</f>
        <v>High</v>
      </c>
      <c r="M53" s="2" t="str">
        <f>IF(K53&lt;=SCORE_METHOD!$B$112,"Low",IF(data_MAPPING!K53&lt;=SCORE_METHOD!$C$112,"Medium","High"))</f>
        <v>High</v>
      </c>
      <c r="N53" s="2" t="s">
        <v>294</v>
      </c>
    </row>
    <row r="54" spans="1:14" s="2" customFormat="1" x14ac:dyDescent="0.25">
      <c r="A54" s="2" t="s">
        <v>78</v>
      </c>
      <c r="B54" s="2">
        <v>32.8099010761999</v>
      </c>
      <c r="C54" s="2">
        <v>2.3000000000000003</v>
      </c>
      <c r="D54" s="2">
        <v>1.5</v>
      </c>
      <c r="E54" s="2">
        <v>1.1428571428571428</v>
      </c>
      <c r="F54" s="2">
        <v>1</v>
      </c>
      <c r="G54" s="2">
        <v>1.4857142857142858</v>
      </c>
      <c r="H54" s="2" t="s">
        <v>118</v>
      </c>
      <c r="I54" s="2">
        <v>5.5299951241732099</v>
      </c>
      <c r="J54" s="2">
        <v>6.5746000271329299</v>
      </c>
      <c r="K54" s="2">
        <v>12.113883564575699</v>
      </c>
      <c r="L54" s="2" t="str">
        <f>IF(G54&lt;=SCORE_METHOD!$B$116,"Low",IF(data_MAPPING!G54&lt;=SCORE_METHOD!$C$116,"Medium","High"))</f>
        <v>Low</v>
      </c>
      <c r="M54" s="2" t="str">
        <f>IF(K54&lt;=SCORE_METHOD!$B$112,"Low",IF(data_MAPPING!K54&lt;=SCORE_METHOD!$C$112,"Medium","High"))</f>
        <v>High</v>
      </c>
      <c r="N54" s="2" t="s">
        <v>336</v>
      </c>
    </row>
    <row r="55" spans="1:14" s="2" customFormat="1" x14ac:dyDescent="0.25">
      <c r="A55" s="2" t="s">
        <v>70</v>
      </c>
      <c r="B55" s="2">
        <v>6.5691873898299997</v>
      </c>
      <c r="C55" s="2">
        <v>1.2000000000000002</v>
      </c>
      <c r="D55" s="2">
        <v>2</v>
      </c>
      <c r="E55" s="2">
        <v>1.4285714285714284</v>
      </c>
      <c r="F55" s="2">
        <v>1.5</v>
      </c>
      <c r="G55" s="2">
        <v>1.532142857142857</v>
      </c>
      <c r="H55" s="2" t="s">
        <v>118</v>
      </c>
      <c r="I55" s="2" t="e">
        <v>#N/A</v>
      </c>
      <c r="J55" s="2" t="e">
        <v>#N/A</v>
      </c>
      <c r="K55" s="2" t="e">
        <v>#N/A</v>
      </c>
      <c r="L55" s="2" t="str">
        <f>IF(G55&lt;=SCORE_METHOD!$B$116,"Low",IF(data_MAPPING!G55&lt;=SCORE_METHOD!$C$116,"Medium","High"))</f>
        <v>Low</v>
      </c>
      <c r="M55" s="2" t="e">
        <f>IF(K55&lt;=SCORE_METHOD!$B$112,"Low",IF(data_MAPPING!K55&lt;=SCORE_METHOD!$C$112,"Medium","High"))</f>
        <v>#N/A</v>
      </c>
      <c r="N55" s="2" t="s">
        <v>337</v>
      </c>
    </row>
    <row r="56" spans="1:14" s="2" customFormat="1" x14ac:dyDescent="0.25">
      <c r="A56" s="2" t="s">
        <v>69</v>
      </c>
      <c r="B56" s="2">
        <v>16.0307517201</v>
      </c>
      <c r="C56" s="2">
        <v>1.4000000000000001</v>
      </c>
      <c r="D56" s="2">
        <v>1.5</v>
      </c>
      <c r="E56" s="2">
        <v>1.4285714285714284</v>
      </c>
      <c r="F56" s="2">
        <v>1.75</v>
      </c>
      <c r="G56" s="2">
        <v>1.5196428571428573</v>
      </c>
      <c r="H56" s="2" t="s">
        <v>106</v>
      </c>
      <c r="I56" s="2" t="e">
        <v>#N/A</v>
      </c>
      <c r="J56" s="2" t="e">
        <v>#N/A</v>
      </c>
      <c r="K56" s="2" t="e">
        <v>#N/A</v>
      </c>
      <c r="L56" s="2" t="str">
        <f>IF(G56&lt;=SCORE_METHOD!$B$116,"Low",IF(data_MAPPING!G56&lt;=SCORE_METHOD!$C$116,"Medium","High"))</f>
        <v>Low</v>
      </c>
      <c r="M56" s="2" t="e">
        <f>IF(K56&lt;=SCORE_METHOD!$B$112,"Low",IF(data_MAPPING!K56&lt;=SCORE_METHOD!$C$112,"Medium","High"))</f>
        <v>#N/A</v>
      </c>
      <c r="N56" s="2" t="s">
        <v>325</v>
      </c>
    </row>
    <row r="57" spans="1:14" s="2" customFormat="1" x14ac:dyDescent="0.25">
      <c r="A57" s="2" t="s">
        <v>28</v>
      </c>
      <c r="B57" s="2">
        <v>12.5623252127999</v>
      </c>
      <c r="C57" s="2">
        <v>1.6</v>
      </c>
      <c r="D57" s="2">
        <v>1</v>
      </c>
      <c r="E57" s="2">
        <v>1.4285714285714284</v>
      </c>
      <c r="F57" s="2">
        <v>1</v>
      </c>
      <c r="G57" s="2">
        <v>1.2571428571428571</v>
      </c>
      <c r="H57" s="2" t="s">
        <v>106</v>
      </c>
      <c r="I57" s="2" t="e">
        <v>#N/A</v>
      </c>
      <c r="J57" s="2" t="e">
        <v>#N/A</v>
      </c>
      <c r="K57" s="2" t="e">
        <v>#N/A</v>
      </c>
      <c r="L57" s="2" t="str">
        <f>IF(G57&lt;=SCORE_METHOD!$B$116,"Low",IF(data_MAPPING!G57&lt;=SCORE_METHOD!$C$116,"Medium","High"))</f>
        <v>Low</v>
      </c>
      <c r="M57" s="2" t="e">
        <f>IF(K57&lt;=SCORE_METHOD!$B$112,"Low",IF(data_MAPPING!K57&lt;=SCORE_METHOD!$C$112,"Medium","High"))</f>
        <v>#N/A</v>
      </c>
      <c r="N57" s="2" t="s">
        <v>339</v>
      </c>
    </row>
  </sheetData>
  <sortState xmlns:xlrd2="http://schemas.microsoft.com/office/spreadsheetml/2017/richdata2" ref="A2:K57">
    <sortCondition ref="J2:J5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200BE-0053-4974-B4F3-D97846B8FAD7}">
  <dimension ref="A1:M78"/>
  <sheetViews>
    <sheetView workbookViewId="0">
      <selection activeCell="C12" sqref="C12"/>
    </sheetView>
  </sheetViews>
  <sheetFormatPr defaultRowHeight="15" x14ac:dyDescent="0.25"/>
  <cols>
    <col min="1" max="1" width="21" customWidth="1"/>
    <col min="2" max="2" width="16.5703125" customWidth="1"/>
    <col min="3" max="3" width="42" customWidth="1"/>
    <col min="4" max="4" width="16.42578125" customWidth="1"/>
    <col min="5" max="5" width="12.5703125" bestFit="1" customWidth="1"/>
    <col min="6" max="6" width="16.85546875" customWidth="1"/>
    <col min="7" max="7" width="16.28515625" customWidth="1"/>
    <col min="8" max="8" width="15.42578125" customWidth="1"/>
    <col min="9" max="9" width="14.7109375" customWidth="1"/>
    <col min="10" max="10" width="13.7109375" bestFit="1" customWidth="1"/>
    <col min="11" max="11" width="12.140625" customWidth="1"/>
    <col min="12" max="12" width="12.85546875" customWidth="1"/>
  </cols>
  <sheetData>
    <row r="1" spans="1:10" x14ac:dyDescent="0.25">
      <c r="B1" t="s">
        <v>257</v>
      </c>
    </row>
    <row r="4" spans="1:10" ht="6" customHeight="1" thickBot="1" x14ac:dyDescent="0.3"/>
    <row r="5" spans="1:10" ht="15.75" thickBot="1" x14ac:dyDescent="0.3">
      <c r="A5" s="69" t="s">
        <v>297</v>
      </c>
      <c r="B5" s="71" t="s">
        <v>290</v>
      </c>
      <c r="C5" s="72" t="s">
        <v>101</v>
      </c>
      <c r="D5" s="72" t="s">
        <v>95</v>
      </c>
      <c r="E5" s="72" t="s">
        <v>266</v>
      </c>
      <c r="F5" s="72" t="s">
        <v>267</v>
      </c>
      <c r="G5" s="72" t="s">
        <v>268</v>
      </c>
      <c r="H5" s="72" t="s">
        <v>269</v>
      </c>
      <c r="I5" s="72" t="s">
        <v>270</v>
      </c>
      <c r="J5" s="73" t="s">
        <v>271</v>
      </c>
    </row>
    <row r="6" spans="1:10" ht="16.5" thickTop="1" thickBot="1" x14ac:dyDescent="0.3">
      <c r="A6" s="68" t="s">
        <v>259</v>
      </c>
      <c r="B6" s="74">
        <v>5</v>
      </c>
      <c r="C6" s="75" t="s">
        <v>262</v>
      </c>
      <c r="D6" s="76">
        <v>98</v>
      </c>
      <c r="E6" s="76">
        <v>2.2999999999999998</v>
      </c>
      <c r="F6" s="80">
        <v>2.5</v>
      </c>
      <c r="G6" s="76">
        <v>1.29</v>
      </c>
      <c r="H6" s="76">
        <v>2.75</v>
      </c>
      <c r="I6" s="76">
        <v>2.21</v>
      </c>
      <c r="J6" s="75" t="s">
        <v>118</v>
      </c>
    </row>
    <row r="7" spans="1:10" ht="15.75" thickBot="1" x14ac:dyDescent="0.3">
      <c r="A7" s="60" t="s">
        <v>261</v>
      </c>
      <c r="B7" s="74">
        <v>1</v>
      </c>
      <c r="C7" s="75" t="s">
        <v>291</v>
      </c>
      <c r="D7" s="76">
        <v>191</v>
      </c>
      <c r="E7" s="76">
        <v>2.5</v>
      </c>
      <c r="F7" s="80">
        <v>3</v>
      </c>
      <c r="G7" s="76">
        <v>1</v>
      </c>
      <c r="H7" s="76">
        <v>2.75</v>
      </c>
      <c r="I7" s="76">
        <v>2.31</v>
      </c>
      <c r="J7" s="75" t="s">
        <v>118</v>
      </c>
    </row>
    <row r="8" spans="1:10" ht="15.75" thickBot="1" x14ac:dyDescent="0.3">
      <c r="A8" s="60" t="s">
        <v>258</v>
      </c>
      <c r="B8" s="74">
        <v>3</v>
      </c>
      <c r="C8" s="75" t="s">
        <v>293</v>
      </c>
      <c r="D8" s="76">
        <v>207</v>
      </c>
      <c r="E8" s="76">
        <v>2.2999999999999998</v>
      </c>
      <c r="F8" s="80">
        <v>3</v>
      </c>
      <c r="G8" s="76">
        <v>1</v>
      </c>
      <c r="H8" s="76">
        <v>2.75</v>
      </c>
      <c r="I8" s="76">
        <v>2.2599999999999998</v>
      </c>
      <c r="J8" s="75" t="s">
        <v>118</v>
      </c>
    </row>
    <row r="9" spans="1:10" ht="15.75" thickBot="1" x14ac:dyDescent="0.3">
      <c r="A9" s="60" t="s">
        <v>260</v>
      </c>
      <c r="B9" s="77">
        <v>6</v>
      </c>
      <c r="C9" s="78" t="s">
        <v>263</v>
      </c>
      <c r="D9" s="79">
        <v>115</v>
      </c>
      <c r="E9" s="79">
        <v>2.2000000000000002</v>
      </c>
      <c r="F9" s="81">
        <v>3</v>
      </c>
      <c r="G9" s="79">
        <v>0.86</v>
      </c>
      <c r="H9" s="79">
        <v>2.75</v>
      </c>
      <c r="I9" s="79">
        <v>2.2000000000000002</v>
      </c>
      <c r="J9" s="78" t="s">
        <v>108</v>
      </c>
    </row>
    <row r="10" spans="1:10" ht="15.75" thickBot="1" x14ac:dyDescent="0.3">
      <c r="A10" s="60" t="s">
        <v>146</v>
      </c>
      <c r="B10" s="77">
        <v>2</v>
      </c>
      <c r="C10" s="78" t="s">
        <v>292</v>
      </c>
      <c r="D10" s="79">
        <v>84</v>
      </c>
      <c r="E10" s="79">
        <v>2.2999999999999998</v>
      </c>
      <c r="F10" s="81">
        <v>3</v>
      </c>
      <c r="G10" s="79">
        <v>1.43</v>
      </c>
      <c r="H10" s="79">
        <v>2.5</v>
      </c>
      <c r="I10" s="79">
        <v>2.31</v>
      </c>
      <c r="J10" s="78" t="s">
        <v>118</v>
      </c>
    </row>
    <row r="11" spans="1:10" ht="15.75" thickBot="1" x14ac:dyDescent="0.3">
      <c r="A11" s="60" t="s">
        <v>264</v>
      </c>
      <c r="B11" s="74">
        <v>9</v>
      </c>
      <c r="C11" s="75" t="s">
        <v>145</v>
      </c>
      <c r="D11" s="76">
        <v>170</v>
      </c>
      <c r="E11" s="76">
        <v>2</v>
      </c>
      <c r="F11" s="80">
        <v>3</v>
      </c>
      <c r="G11" s="76">
        <v>1.1399999999999999</v>
      </c>
      <c r="H11" s="76">
        <v>2.5</v>
      </c>
      <c r="I11" s="76">
        <v>2.16</v>
      </c>
      <c r="J11" s="75" t="s">
        <v>108</v>
      </c>
    </row>
    <row r="12" spans="1:10" ht="15.75" thickBot="1" x14ac:dyDescent="0.3">
      <c r="A12" s="60" t="s">
        <v>265</v>
      </c>
      <c r="B12" s="77">
        <v>4</v>
      </c>
      <c r="C12" s="78" t="s">
        <v>294</v>
      </c>
      <c r="D12" s="79">
        <v>108</v>
      </c>
      <c r="E12" s="79">
        <v>2.8</v>
      </c>
      <c r="F12" s="81">
        <v>2.5</v>
      </c>
      <c r="G12" s="79">
        <v>1.1399999999999999</v>
      </c>
      <c r="H12" s="79">
        <v>2.5</v>
      </c>
      <c r="I12" s="79">
        <v>2.2400000000000002</v>
      </c>
      <c r="J12" s="78" t="s">
        <v>106</v>
      </c>
    </row>
    <row r="13" spans="1:10" ht="15.75" thickBot="1" x14ac:dyDescent="0.3">
      <c r="A13" s="60" t="s">
        <v>262</v>
      </c>
      <c r="B13" s="74">
        <v>7</v>
      </c>
      <c r="C13" s="75" t="s">
        <v>295</v>
      </c>
      <c r="D13" s="76">
        <v>195</v>
      </c>
      <c r="E13" s="76">
        <v>2</v>
      </c>
      <c r="F13" s="80">
        <v>3</v>
      </c>
      <c r="G13" s="76">
        <v>1.43</v>
      </c>
      <c r="H13" s="76">
        <v>2.25</v>
      </c>
      <c r="I13" s="76">
        <v>2.17</v>
      </c>
      <c r="J13" s="75" t="s">
        <v>108</v>
      </c>
    </row>
    <row r="14" spans="1:10" ht="15.75" thickBot="1" x14ac:dyDescent="0.3">
      <c r="A14" s="60" t="s">
        <v>263</v>
      </c>
      <c r="B14" s="77">
        <v>8</v>
      </c>
      <c r="C14" s="78" t="s">
        <v>296</v>
      </c>
      <c r="D14" s="79">
        <v>43</v>
      </c>
      <c r="E14" s="79">
        <v>2.4</v>
      </c>
      <c r="F14" s="81">
        <v>3</v>
      </c>
      <c r="G14" s="79">
        <v>1</v>
      </c>
      <c r="H14" s="79">
        <v>2.25</v>
      </c>
      <c r="I14" s="79">
        <v>2.16</v>
      </c>
      <c r="J14" s="78" t="s">
        <v>106</v>
      </c>
    </row>
    <row r="15" spans="1:10" ht="15.75" thickBot="1" x14ac:dyDescent="0.3">
      <c r="A15" s="62" t="s">
        <v>145</v>
      </c>
      <c r="B15" s="77">
        <v>10</v>
      </c>
      <c r="C15" s="78" t="s">
        <v>146</v>
      </c>
      <c r="D15" s="79">
        <v>97</v>
      </c>
      <c r="E15" s="79">
        <v>2.8</v>
      </c>
      <c r="F15" s="81">
        <v>2.5</v>
      </c>
      <c r="G15" s="79">
        <v>1.29</v>
      </c>
      <c r="H15" s="79">
        <v>1.75</v>
      </c>
      <c r="I15" s="79">
        <v>2.08</v>
      </c>
      <c r="J15" s="78" t="s">
        <v>108</v>
      </c>
    </row>
    <row r="20" spans="1:13" ht="15.75" thickBot="1" x14ac:dyDescent="0.3"/>
    <row r="21" spans="1:13" ht="15.75" thickBot="1" x14ac:dyDescent="0.3">
      <c r="A21" s="93"/>
      <c r="B21" s="93"/>
      <c r="C21" s="109" t="s">
        <v>310</v>
      </c>
      <c r="D21" s="110"/>
      <c r="E21" s="110"/>
      <c r="F21" s="110"/>
      <c r="G21" s="111"/>
      <c r="H21" s="112" t="s">
        <v>311</v>
      </c>
      <c r="I21" s="113"/>
      <c r="J21" s="114"/>
      <c r="K21" s="115" t="s">
        <v>312</v>
      </c>
      <c r="L21" s="115" t="s">
        <v>313</v>
      </c>
      <c r="M21" s="115" t="s">
        <v>271</v>
      </c>
    </row>
    <row r="22" spans="1:13" ht="75" x14ac:dyDescent="0.25">
      <c r="A22" s="94" t="s">
        <v>101</v>
      </c>
      <c r="B22" s="95" t="s">
        <v>95</v>
      </c>
      <c r="C22" s="96" t="s">
        <v>308</v>
      </c>
      <c r="D22" s="97" t="s">
        <v>309</v>
      </c>
      <c r="E22" s="97" t="s">
        <v>315</v>
      </c>
      <c r="F22" s="97" t="s">
        <v>316</v>
      </c>
      <c r="G22" s="98" t="s">
        <v>270</v>
      </c>
      <c r="H22" s="96" t="s">
        <v>303</v>
      </c>
      <c r="I22" s="97" t="s">
        <v>302</v>
      </c>
      <c r="J22" s="98" t="s">
        <v>304</v>
      </c>
      <c r="K22" s="116"/>
      <c r="L22" s="116"/>
      <c r="M22" s="116"/>
    </row>
    <row r="23" spans="1:13" x14ac:dyDescent="0.25">
      <c r="A23" s="60" t="s">
        <v>64</v>
      </c>
      <c r="B23" s="101">
        <v>95.0268986208999</v>
      </c>
      <c r="C23" s="100">
        <v>1.6</v>
      </c>
      <c r="D23" s="99">
        <v>1</v>
      </c>
      <c r="E23" s="99">
        <v>1.4285714285714284</v>
      </c>
      <c r="F23" s="99">
        <v>1.25</v>
      </c>
      <c r="G23" s="101">
        <v>1.3196428571428571</v>
      </c>
      <c r="H23" s="100">
        <v>3.1472760283264498</v>
      </c>
      <c r="I23" s="99">
        <v>2.4124289188575898</v>
      </c>
      <c r="J23" s="101">
        <v>5.6481793579727704</v>
      </c>
      <c r="K23" s="105" t="s">
        <v>30</v>
      </c>
      <c r="L23" s="105" t="s">
        <v>30</v>
      </c>
      <c r="M23" s="105" t="s">
        <v>256</v>
      </c>
    </row>
    <row r="24" spans="1:13" x14ac:dyDescent="0.25">
      <c r="A24" s="60" t="s">
        <v>45</v>
      </c>
      <c r="B24" s="101">
        <v>26.949391069800001</v>
      </c>
      <c r="C24" s="100">
        <v>1.8</v>
      </c>
      <c r="D24" s="99">
        <v>1</v>
      </c>
      <c r="E24" s="99">
        <v>1.7142857142857142</v>
      </c>
      <c r="F24" s="99">
        <v>1.25</v>
      </c>
      <c r="G24" s="101">
        <v>1.4410714285714286</v>
      </c>
      <c r="H24" s="100">
        <v>3.7234378344332399</v>
      </c>
      <c r="I24" s="99">
        <v>2.6507947947551598</v>
      </c>
      <c r="J24" s="101">
        <v>6.2952041319554404</v>
      </c>
      <c r="K24" s="105" t="s">
        <v>30</v>
      </c>
      <c r="L24" s="105" t="s">
        <v>30</v>
      </c>
      <c r="M24" s="105" t="s">
        <v>254</v>
      </c>
    </row>
    <row r="25" spans="1:13" x14ac:dyDescent="0.25">
      <c r="A25" s="60" t="s">
        <v>66</v>
      </c>
      <c r="B25" s="101">
        <v>42.901241016900002</v>
      </c>
      <c r="C25" s="100">
        <v>1.8</v>
      </c>
      <c r="D25" s="99">
        <v>1.5</v>
      </c>
      <c r="E25" s="99">
        <v>1.4285714285714284</v>
      </c>
      <c r="F25" s="99">
        <v>2</v>
      </c>
      <c r="G25" s="101">
        <v>1.6821428571428569</v>
      </c>
      <c r="H25" s="100">
        <v>3.4583333333333299</v>
      </c>
      <c r="I25" s="99">
        <v>2.7111111111111099</v>
      </c>
      <c r="J25" s="101">
        <v>6.06944444444445</v>
      </c>
      <c r="K25" s="105" t="s">
        <v>29</v>
      </c>
      <c r="L25" s="105" t="s">
        <v>30</v>
      </c>
      <c r="M25" s="105" t="s">
        <v>255</v>
      </c>
    </row>
    <row r="26" spans="1:13" x14ac:dyDescent="0.25">
      <c r="A26" s="60" t="s">
        <v>47</v>
      </c>
      <c r="B26" s="101">
        <v>42.291837041199898</v>
      </c>
      <c r="C26" s="100">
        <v>1.4000000000000001</v>
      </c>
      <c r="D26" s="99">
        <v>1</v>
      </c>
      <c r="E26" s="99">
        <v>1.7142857142857142</v>
      </c>
      <c r="F26" s="99">
        <v>2</v>
      </c>
      <c r="G26" s="101">
        <v>1.5285714285714287</v>
      </c>
      <c r="H26" s="100">
        <v>2.8444312929403499</v>
      </c>
      <c r="I26" s="99">
        <v>2.7461905105387898</v>
      </c>
      <c r="J26" s="101">
        <v>5.6088888742303498</v>
      </c>
      <c r="K26" s="105" t="s">
        <v>30</v>
      </c>
      <c r="L26" s="105" t="s">
        <v>30</v>
      </c>
      <c r="M26" s="105" t="s">
        <v>256</v>
      </c>
    </row>
    <row r="27" spans="1:13" x14ac:dyDescent="0.25">
      <c r="A27" s="60" t="s">
        <v>36</v>
      </c>
      <c r="B27" s="101">
        <v>3.4067871411100001</v>
      </c>
      <c r="C27" s="100">
        <v>1.6</v>
      </c>
      <c r="D27" s="99">
        <v>2</v>
      </c>
      <c r="E27" s="99">
        <v>1.4285714285714284</v>
      </c>
      <c r="F27" s="99">
        <v>1.25</v>
      </c>
      <c r="G27" s="101">
        <v>1.5696428571428571</v>
      </c>
      <c r="H27" s="100">
        <v>3.3333333333333299</v>
      </c>
      <c r="I27" s="99">
        <v>2.9777777777777801</v>
      </c>
      <c r="J27" s="101">
        <v>6.31111111111111</v>
      </c>
      <c r="K27" s="105" t="s">
        <v>30</v>
      </c>
      <c r="L27" s="105" t="s">
        <v>30</v>
      </c>
      <c r="M27" s="105" t="s">
        <v>255</v>
      </c>
    </row>
    <row r="28" spans="1:13" x14ac:dyDescent="0.25">
      <c r="A28" s="60" t="s">
        <v>82</v>
      </c>
      <c r="B28" s="101">
        <v>122.665972260999</v>
      </c>
      <c r="C28" s="100">
        <v>2.4000000000000004</v>
      </c>
      <c r="D28" s="99">
        <v>2</v>
      </c>
      <c r="E28" s="99">
        <v>1.4285714285714284</v>
      </c>
      <c r="F28" s="99">
        <v>1.75</v>
      </c>
      <c r="G28" s="101">
        <v>1.8946428571428573</v>
      </c>
      <c r="H28" s="100">
        <v>3.1240259819781699</v>
      </c>
      <c r="I28" s="99">
        <v>3.3897326402666099</v>
      </c>
      <c r="J28" s="101">
        <v>6.6226642104898596</v>
      </c>
      <c r="K28" s="105" t="s">
        <v>32</v>
      </c>
      <c r="L28" s="105" t="s">
        <v>30</v>
      </c>
      <c r="M28" s="105" t="s">
        <v>254</v>
      </c>
    </row>
    <row r="29" spans="1:13" x14ac:dyDescent="0.25">
      <c r="A29" s="60" t="s">
        <v>44</v>
      </c>
      <c r="B29" s="101">
        <v>4.2164203195200001</v>
      </c>
      <c r="C29" s="100">
        <v>1.8</v>
      </c>
      <c r="D29" s="99">
        <v>1.5</v>
      </c>
      <c r="E29" s="99">
        <v>1.7142857142857142</v>
      </c>
      <c r="F29" s="99">
        <v>2</v>
      </c>
      <c r="G29" s="101">
        <v>1.7535714285714286</v>
      </c>
      <c r="H29" s="100">
        <v>5.2733511728608899</v>
      </c>
      <c r="I29" s="99">
        <v>3.4208629776817001</v>
      </c>
      <c r="J29" s="101">
        <v>8.6711979037506097</v>
      </c>
      <c r="K29" s="105" t="s">
        <v>29</v>
      </c>
      <c r="L29" s="105" t="s">
        <v>29</v>
      </c>
      <c r="M29" s="105" t="s">
        <v>254</v>
      </c>
    </row>
    <row r="30" spans="1:13" x14ac:dyDescent="0.25">
      <c r="A30" s="60" t="s">
        <v>81</v>
      </c>
      <c r="B30" s="101">
        <v>195.19672245000001</v>
      </c>
      <c r="C30" s="100">
        <v>2</v>
      </c>
      <c r="D30" s="99">
        <v>3</v>
      </c>
      <c r="E30" s="99">
        <v>1.4285714285714284</v>
      </c>
      <c r="F30" s="99">
        <v>2.25</v>
      </c>
      <c r="G30" s="101">
        <v>2.1696428571428572</v>
      </c>
      <c r="H30" s="100">
        <v>3.5075018687523101</v>
      </c>
      <c r="I30" s="99">
        <v>3.6399000145712601</v>
      </c>
      <c r="J30" s="101">
        <v>7.2092770918856797</v>
      </c>
      <c r="K30" s="105" t="s">
        <v>32</v>
      </c>
      <c r="L30" s="105" t="s">
        <v>30</v>
      </c>
      <c r="M30" s="105" t="s">
        <v>256</v>
      </c>
    </row>
    <row r="31" spans="1:13" x14ac:dyDescent="0.25">
      <c r="A31" s="60" t="s">
        <v>50</v>
      </c>
      <c r="B31" s="101">
        <v>90.816483914100004</v>
      </c>
      <c r="C31" s="100">
        <v>2</v>
      </c>
      <c r="D31" s="99">
        <v>1.5</v>
      </c>
      <c r="E31" s="99">
        <v>1.2857142857142856</v>
      </c>
      <c r="F31" s="99">
        <v>2.5</v>
      </c>
      <c r="G31" s="101">
        <v>1.8214285714285714</v>
      </c>
      <c r="H31" s="100">
        <v>3.8360053804533001</v>
      </c>
      <c r="I31" s="99">
        <v>3.7339468026957499</v>
      </c>
      <c r="J31" s="101">
        <v>7.61354614287188</v>
      </c>
      <c r="K31" s="105" t="s">
        <v>29</v>
      </c>
      <c r="L31" s="105" t="s">
        <v>30</v>
      </c>
      <c r="M31" s="105" t="s">
        <v>256</v>
      </c>
    </row>
    <row r="32" spans="1:13" x14ac:dyDescent="0.25">
      <c r="A32" s="60" t="s">
        <v>74</v>
      </c>
      <c r="B32" s="101">
        <v>114.62000684900001</v>
      </c>
      <c r="C32" s="100">
        <v>2.2000000000000002</v>
      </c>
      <c r="D32" s="99">
        <v>3</v>
      </c>
      <c r="E32" s="99">
        <v>0.8571428571428571</v>
      </c>
      <c r="F32" s="99">
        <v>2.75</v>
      </c>
      <c r="G32" s="101">
        <v>2.2017857142857142</v>
      </c>
      <c r="H32" s="100">
        <v>4.4517730934267199</v>
      </c>
      <c r="I32" s="99">
        <v>3.7645070714748599</v>
      </c>
      <c r="J32" s="101">
        <v>8.2690787067913103</v>
      </c>
      <c r="K32" s="105" t="s">
        <v>32</v>
      </c>
      <c r="L32" s="105" t="s">
        <v>30</v>
      </c>
      <c r="M32" s="105" t="s">
        <v>256</v>
      </c>
    </row>
    <row r="33" spans="1:13" x14ac:dyDescent="0.25">
      <c r="A33" s="60" t="s">
        <v>42</v>
      </c>
      <c r="B33" s="101">
        <v>18.352812943499899</v>
      </c>
      <c r="C33" s="100">
        <v>1.7000000000000002</v>
      </c>
      <c r="D33" s="99">
        <v>1</v>
      </c>
      <c r="E33" s="99">
        <v>1.5714285714285714</v>
      </c>
      <c r="F33" s="99">
        <v>2.25</v>
      </c>
      <c r="G33" s="101">
        <v>1.6303571428571428</v>
      </c>
      <c r="H33" s="100">
        <v>4.8327449501888298</v>
      </c>
      <c r="I33" s="99">
        <v>3.77261957037928</v>
      </c>
      <c r="J33" s="101">
        <v>8.7328848321828598</v>
      </c>
      <c r="K33" s="105" t="s">
        <v>30</v>
      </c>
      <c r="L33" s="105" t="s">
        <v>29</v>
      </c>
      <c r="M33" s="105" t="s">
        <v>254</v>
      </c>
    </row>
    <row r="34" spans="1:13" x14ac:dyDescent="0.25">
      <c r="A34" s="60" t="s">
        <v>39</v>
      </c>
      <c r="B34" s="101">
        <v>20.004861967899899</v>
      </c>
      <c r="C34" s="100">
        <v>1.4000000000000001</v>
      </c>
      <c r="D34" s="99">
        <v>2</v>
      </c>
      <c r="E34" s="99">
        <v>1.5714285714285714</v>
      </c>
      <c r="F34" s="99">
        <v>2</v>
      </c>
      <c r="G34" s="101">
        <v>1.7428571428571429</v>
      </c>
      <c r="H34" s="100">
        <v>4.5423863061659997</v>
      </c>
      <c r="I34" s="99">
        <v>3.81766399640127</v>
      </c>
      <c r="J34" s="101">
        <v>8.3156069804714807</v>
      </c>
      <c r="K34" s="105" t="s">
        <v>29</v>
      </c>
      <c r="L34" s="105" t="s">
        <v>30</v>
      </c>
      <c r="M34" s="105" t="s">
        <v>255</v>
      </c>
    </row>
    <row r="35" spans="1:13" x14ac:dyDescent="0.25">
      <c r="A35" s="60" t="s">
        <v>51</v>
      </c>
      <c r="B35" s="101">
        <v>35.996736132800002</v>
      </c>
      <c r="C35" s="100">
        <v>1.8</v>
      </c>
      <c r="D35" s="99">
        <v>2.5</v>
      </c>
      <c r="E35" s="99">
        <v>1.4285714285714284</v>
      </c>
      <c r="F35" s="99">
        <v>1.75</v>
      </c>
      <c r="G35" s="101">
        <v>1.8696428571428569</v>
      </c>
      <c r="H35" s="100">
        <v>3.52597150391097</v>
      </c>
      <c r="I35" s="99">
        <v>3.9362873822781399</v>
      </c>
      <c r="J35" s="101">
        <v>7.5559547708761201</v>
      </c>
      <c r="K35" s="105" t="s">
        <v>32</v>
      </c>
      <c r="L35" s="105" t="s">
        <v>30</v>
      </c>
      <c r="M35" s="105" t="s">
        <v>256</v>
      </c>
    </row>
    <row r="36" spans="1:13" x14ac:dyDescent="0.25">
      <c r="A36" s="60" t="s">
        <v>34</v>
      </c>
      <c r="B36" s="101">
        <v>97.643793810199895</v>
      </c>
      <c r="C36" s="100">
        <v>1.8</v>
      </c>
      <c r="D36" s="99">
        <v>1.5</v>
      </c>
      <c r="E36" s="99">
        <v>1.7142857142857142</v>
      </c>
      <c r="F36" s="99">
        <v>2</v>
      </c>
      <c r="G36" s="101">
        <v>1.7535714285714286</v>
      </c>
      <c r="H36" s="100">
        <v>4.2912267641406103</v>
      </c>
      <c r="I36" s="99">
        <v>3.9593850797263799</v>
      </c>
      <c r="J36" s="101">
        <v>8.3797626767806399</v>
      </c>
      <c r="K36" s="105" t="s">
        <v>29</v>
      </c>
      <c r="L36" s="105" t="s">
        <v>29</v>
      </c>
      <c r="M36" s="105" t="s">
        <v>255</v>
      </c>
    </row>
    <row r="37" spans="1:13" x14ac:dyDescent="0.25">
      <c r="A37" s="60" t="s">
        <v>85</v>
      </c>
      <c r="B37" s="101">
        <v>169.551014127</v>
      </c>
      <c r="C37" s="100">
        <v>2</v>
      </c>
      <c r="D37" s="99">
        <v>3</v>
      </c>
      <c r="E37" s="99">
        <v>1.1428571428571428</v>
      </c>
      <c r="F37" s="99">
        <v>2.5</v>
      </c>
      <c r="G37" s="101">
        <v>2.1607142857142856</v>
      </c>
      <c r="H37" s="100">
        <v>5.1151189581565104</v>
      </c>
      <c r="I37" s="99">
        <v>4.1874377677755197</v>
      </c>
      <c r="J37" s="101">
        <v>9.3462807991376504</v>
      </c>
      <c r="K37" s="105" t="s">
        <v>32</v>
      </c>
      <c r="L37" s="105" t="s">
        <v>29</v>
      </c>
      <c r="M37" s="105" t="s">
        <v>256</v>
      </c>
    </row>
    <row r="38" spans="1:13" x14ac:dyDescent="0.25">
      <c r="A38" s="60" t="s">
        <v>52</v>
      </c>
      <c r="B38" s="101">
        <v>56.3240863179999</v>
      </c>
      <c r="C38" s="100">
        <v>1</v>
      </c>
      <c r="D38" s="99">
        <v>3</v>
      </c>
      <c r="E38" s="99">
        <v>1.7142857142857142</v>
      </c>
      <c r="F38" s="99">
        <v>1.75</v>
      </c>
      <c r="G38" s="101">
        <v>1.8660714285714286</v>
      </c>
      <c r="H38" s="100">
        <v>4.4776605315806703</v>
      </c>
      <c r="I38" s="99">
        <v>4.2522676611259698</v>
      </c>
      <c r="J38" s="101">
        <v>8.8751018466907308</v>
      </c>
      <c r="K38" s="105" t="s">
        <v>29</v>
      </c>
      <c r="L38" s="105" t="s">
        <v>29</v>
      </c>
      <c r="M38" s="105" t="s">
        <v>255</v>
      </c>
    </row>
    <row r="39" spans="1:13" x14ac:dyDescent="0.25">
      <c r="A39" s="60" t="s">
        <v>142</v>
      </c>
      <c r="B39" s="101">
        <v>34.463288233299899</v>
      </c>
      <c r="C39" s="100">
        <v>2</v>
      </c>
      <c r="D39" s="99">
        <v>2.5</v>
      </c>
      <c r="E39" s="99">
        <v>1.1428571428571428</v>
      </c>
      <c r="F39" s="99">
        <v>2</v>
      </c>
      <c r="G39" s="101">
        <v>1.9107142857142856</v>
      </c>
      <c r="H39" s="100">
        <v>4.4184725206345004</v>
      </c>
      <c r="I39" s="99">
        <v>4.2802790257878698</v>
      </c>
      <c r="J39" s="101">
        <v>8.6801308633645498</v>
      </c>
      <c r="K39" s="105" t="s">
        <v>32</v>
      </c>
      <c r="L39" s="105" t="s">
        <v>29</v>
      </c>
      <c r="M39" s="105" t="s">
        <v>256</v>
      </c>
    </row>
    <row r="40" spans="1:13" x14ac:dyDescent="0.25">
      <c r="A40" s="60" t="s">
        <v>67</v>
      </c>
      <c r="B40" s="101">
        <v>20.8341330292</v>
      </c>
      <c r="C40" s="100">
        <v>2.4000000000000004</v>
      </c>
      <c r="D40" s="99">
        <v>1.5</v>
      </c>
      <c r="E40" s="99">
        <v>1</v>
      </c>
      <c r="F40" s="99">
        <v>2</v>
      </c>
      <c r="G40" s="101">
        <v>1.7250000000000001</v>
      </c>
      <c r="H40" s="100">
        <v>6.01669429658706</v>
      </c>
      <c r="I40" s="99">
        <v>4.3051283471743602</v>
      </c>
      <c r="J40" s="101">
        <v>10.310452253802</v>
      </c>
      <c r="K40" s="105" t="s">
        <v>29</v>
      </c>
      <c r="L40" s="105" t="s">
        <v>32</v>
      </c>
      <c r="M40" s="105" t="s">
        <v>255</v>
      </c>
    </row>
    <row r="41" spans="1:13" x14ac:dyDescent="0.25">
      <c r="A41" s="60" t="s">
        <v>40</v>
      </c>
      <c r="B41" s="101">
        <v>76.142924098199899</v>
      </c>
      <c r="C41" s="100">
        <v>1.1000000000000001</v>
      </c>
      <c r="D41" s="99">
        <v>2</v>
      </c>
      <c r="E41" s="99">
        <v>1.5714285714285714</v>
      </c>
      <c r="F41" s="99">
        <v>2.25</v>
      </c>
      <c r="G41" s="101">
        <v>1.7303571428571429</v>
      </c>
      <c r="H41" s="100">
        <v>3.4992701273120699</v>
      </c>
      <c r="I41" s="99">
        <v>4.313728569976</v>
      </c>
      <c r="J41" s="101">
        <v>7.8822738777675303</v>
      </c>
      <c r="K41" s="105" t="s">
        <v>29</v>
      </c>
      <c r="L41" s="105" t="s">
        <v>30</v>
      </c>
      <c r="M41" s="105" t="s">
        <v>255</v>
      </c>
    </row>
    <row r="42" spans="1:13" x14ac:dyDescent="0.25">
      <c r="A42" s="60" t="s">
        <v>76</v>
      </c>
      <c r="B42" s="101">
        <v>168.085317269</v>
      </c>
      <c r="C42" s="100">
        <v>2.3000000000000003</v>
      </c>
      <c r="D42" s="99">
        <v>2</v>
      </c>
      <c r="E42" s="99">
        <v>1.5714285714285714</v>
      </c>
      <c r="F42" s="99">
        <v>1.75</v>
      </c>
      <c r="G42" s="101">
        <v>1.905357142857143</v>
      </c>
      <c r="H42" s="100">
        <v>3.9878234673272401</v>
      </c>
      <c r="I42" s="99">
        <v>4.3410342148535497</v>
      </c>
      <c r="J42" s="101">
        <v>8.4049344413746301</v>
      </c>
      <c r="K42" s="105" t="s">
        <v>32</v>
      </c>
      <c r="L42" s="105" t="s">
        <v>29</v>
      </c>
      <c r="M42" s="105" t="s">
        <v>256</v>
      </c>
    </row>
    <row r="43" spans="1:13" x14ac:dyDescent="0.25">
      <c r="A43" s="60" t="s">
        <v>86</v>
      </c>
      <c r="B43" s="101">
        <v>97.141262682700003</v>
      </c>
      <c r="C43" s="100">
        <v>2.8000000000000003</v>
      </c>
      <c r="D43" s="99">
        <v>2.5</v>
      </c>
      <c r="E43" s="99">
        <v>1.2857142857142856</v>
      </c>
      <c r="F43" s="99">
        <v>1.75</v>
      </c>
      <c r="G43" s="101">
        <v>2.0839285714285714</v>
      </c>
      <c r="H43" s="100">
        <v>3.4716351455200098</v>
      </c>
      <c r="I43" s="99">
        <v>4.3555306807529304</v>
      </c>
      <c r="J43" s="101">
        <v>7.8801904442002098</v>
      </c>
      <c r="K43" s="105" t="s">
        <v>32</v>
      </c>
      <c r="L43" s="105" t="s">
        <v>30</v>
      </c>
      <c r="M43" s="105" t="s">
        <v>256</v>
      </c>
    </row>
    <row r="44" spans="1:13" x14ac:dyDescent="0.25">
      <c r="A44" s="60" t="s">
        <v>35</v>
      </c>
      <c r="B44" s="101">
        <v>76.826502077599898</v>
      </c>
      <c r="C44" s="100">
        <v>1.2000000000000002</v>
      </c>
      <c r="D44" s="99">
        <v>2.5</v>
      </c>
      <c r="E44" s="99">
        <v>1.7142857142857142</v>
      </c>
      <c r="F44" s="99">
        <v>1.75</v>
      </c>
      <c r="G44" s="101">
        <v>1.7910714285714286</v>
      </c>
      <c r="H44" s="100">
        <v>3.1099701395552999</v>
      </c>
      <c r="I44" s="99">
        <v>4.3667239926268699</v>
      </c>
      <c r="J44" s="101">
        <v>7.5357983957416304</v>
      </c>
      <c r="K44" s="105" t="s">
        <v>29</v>
      </c>
      <c r="L44" s="105" t="s">
        <v>30</v>
      </c>
      <c r="M44" s="105" t="s">
        <v>255</v>
      </c>
    </row>
    <row r="45" spans="1:13" x14ac:dyDescent="0.25">
      <c r="A45" s="60" t="s">
        <v>43</v>
      </c>
      <c r="B45" s="101">
        <v>44.268066668400003</v>
      </c>
      <c r="C45" s="100">
        <v>1.7000000000000002</v>
      </c>
      <c r="D45" s="99">
        <v>1</v>
      </c>
      <c r="E45" s="99">
        <v>1.7142857142857142</v>
      </c>
      <c r="F45" s="99">
        <v>1</v>
      </c>
      <c r="G45" s="101">
        <v>1.3535714285714286</v>
      </c>
      <c r="H45" s="100">
        <v>3.1641874020646701</v>
      </c>
      <c r="I45" s="99">
        <v>4.5020440390842804</v>
      </c>
      <c r="J45" s="101">
        <v>7.6005973356547196</v>
      </c>
      <c r="K45" s="105" t="s">
        <v>30</v>
      </c>
      <c r="L45" s="105" t="s">
        <v>30</v>
      </c>
      <c r="M45" s="105" t="s">
        <v>255</v>
      </c>
    </row>
    <row r="46" spans="1:13" x14ac:dyDescent="0.25">
      <c r="A46" s="60" t="s">
        <v>37</v>
      </c>
      <c r="B46" s="101">
        <v>27.275757023800001</v>
      </c>
      <c r="C46" s="100">
        <v>1.4000000000000001</v>
      </c>
      <c r="D46" s="99">
        <v>2</v>
      </c>
      <c r="E46" s="99">
        <v>1.5714285714285714</v>
      </c>
      <c r="F46" s="99">
        <v>2</v>
      </c>
      <c r="G46" s="101">
        <v>1.7428571428571429</v>
      </c>
      <c r="H46" s="100">
        <v>4.3628167741649104</v>
      </c>
      <c r="I46" s="99">
        <v>4.6113600633839402</v>
      </c>
      <c r="J46" s="101">
        <v>9.0771549234860007</v>
      </c>
      <c r="K46" s="105" t="s">
        <v>29</v>
      </c>
      <c r="L46" s="105" t="s">
        <v>29</v>
      </c>
      <c r="M46" s="105" t="s">
        <v>255</v>
      </c>
    </row>
    <row r="47" spans="1:13" x14ac:dyDescent="0.25">
      <c r="A47" s="60" t="s">
        <v>55</v>
      </c>
      <c r="B47" s="101">
        <v>76.8165697300999</v>
      </c>
      <c r="C47" s="100">
        <v>2</v>
      </c>
      <c r="D47" s="99">
        <v>1</v>
      </c>
      <c r="E47" s="99">
        <v>1.4285714285714284</v>
      </c>
      <c r="F47" s="99">
        <v>2.75</v>
      </c>
      <c r="G47" s="101">
        <v>1.7946428571428572</v>
      </c>
      <c r="H47" s="100">
        <v>3.5790416448975799</v>
      </c>
      <c r="I47" s="99">
        <v>4.6554437747872397</v>
      </c>
      <c r="J47" s="101">
        <v>8.2971016602477796</v>
      </c>
      <c r="K47" s="105" t="s">
        <v>29</v>
      </c>
      <c r="L47" s="105" t="s">
        <v>30</v>
      </c>
      <c r="M47" s="105" t="s">
        <v>254</v>
      </c>
    </row>
    <row r="48" spans="1:13" x14ac:dyDescent="0.25">
      <c r="A48" s="60" t="s">
        <v>56</v>
      </c>
      <c r="B48" s="101">
        <v>75.904228896299898</v>
      </c>
      <c r="C48" s="100">
        <v>1.6</v>
      </c>
      <c r="D48" s="99">
        <v>2</v>
      </c>
      <c r="E48" s="99">
        <v>1.1428571428571428</v>
      </c>
      <c r="F48" s="99">
        <v>2.25</v>
      </c>
      <c r="G48" s="101">
        <v>1.7482142857142857</v>
      </c>
      <c r="H48" s="100">
        <v>4.9954319144745201</v>
      </c>
      <c r="I48" s="99">
        <v>4.6781994775229503</v>
      </c>
      <c r="J48" s="101">
        <v>9.6799581093591005</v>
      </c>
      <c r="K48" s="105" t="s">
        <v>29</v>
      </c>
      <c r="L48" s="105" t="s">
        <v>29</v>
      </c>
      <c r="M48" s="105" t="s">
        <v>255</v>
      </c>
    </row>
    <row r="49" spans="1:13" x14ac:dyDescent="0.25">
      <c r="A49" s="60" t="s">
        <v>62</v>
      </c>
      <c r="B49" s="101">
        <v>21.4947777289999</v>
      </c>
      <c r="C49" s="100">
        <v>2</v>
      </c>
      <c r="D49" s="99">
        <v>1</v>
      </c>
      <c r="E49" s="99">
        <v>0.8571428571428571</v>
      </c>
      <c r="F49" s="99">
        <v>1</v>
      </c>
      <c r="G49" s="101">
        <v>1.2142857142857144</v>
      </c>
      <c r="H49" s="100">
        <v>5.3442637198049701</v>
      </c>
      <c r="I49" s="99">
        <v>4.7167966840925297</v>
      </c>
      <c r="J49" s="101">
        <v>10.0784444257134</v>
      </c>
      <c r="K49" s="105" t="s">
        <v>30</v>
      </c>
      <c r="L49" s="105" t="s">
        <v>29</v>
      </c>
      <c r="M49" s="105" t="s">
        <v>255</v>
      </c>
    </row>
    <row r="50" spans="1:13" x14ac:dyDescent="0.25">
      <c r="A50" s="60" t="s">
        <v>71</v>
      </c>
      <c r="B50" s="101">
        <v>21.489188390100001</v>
      </c>
      <c r="C50" s="100">
        <v>1.7000000000000002</v>
      </c>
      <c r="D50" s="99">
        <v>2</v>
      </c>
      <c r="E50" s="99">
        <v>1</v>
      </c>
      <c r="F50" s="99">
        <v>1.5</v>
      </c>
      <c r="G50" s="101">
        <v>1.55</v>
      </c>
      <c r="H50" s="100">
        <v>5.9893102905842799</v>
      </c>
      <c r="I50" s="99">
        <v>4.8926650466791104</v>
      </c>
      <c r="J50" s="101">
        <v>10.898091052232401</v>
      </c>
      <c r="K50" s="105" t="s">
        <v>30</v>
      </c>
      <c r="L50" s="105" t="s">
        <v>32</v>
      </c>
      <c r="M50" s="105" t="s">
        <v>254</v>
      </c>
    </row>
    <row r="51" spans="1:13" x14ac:dyDescent="0.25">
      <c r="A51" s="60" t="s">
        <v>59</v>
      </c>
      <c r="B51" s="101">
        <v>16.3123234551</v>
      </c>
      <c r="C51" s="100">
        <v>1.4000000000000001</v>
      </c>
      <c r="D51" s="99">
        <v>2</v>
      </c>
      <c r="E51" s="99">
        <v>1.2857142857142856</v>
      </c>
      <c r="F51" s="99">
        <v>2.25</v>
      </c>
      <c r="G51" s="101">
        <v>1.7339285714285715</v>
      </c>
      <c r="H51" s="100">
        <v>5.8138288344534699</v>
      </c>
      <c r="I51" s="99">
        <v>4.9050698182603396</v>
      </c>
      <c r="J51" s="101">
        <v>10.6506449485967</v>
      </c>
      <c r="K51" s="105" t="s">
        <v>29</v>
      </c>
      <c r="L51" s="105" t="s">
        <v>32</v>
      </c>
      <c r="M51" s="105" t="s">
        <v>255</v>
      </c>
    </row>
    <row r="52" spans="1:13" x14ac:dyDescent="0.25">
      <c r="A52" s="60" t="s">
        <v>38</v>
      </c>
      <c r="B52" s="101">
        <v>60.320465667299899</v>
      </c>
      <c r="C52" s="100">
        <v>1.7000000000000002</v>
      </c>
      <c r="D52" s="99">
        <v>1.5</v>
      </c>
      <c r="E52" s="99">
        <v>1.5714285714285714</v>
      </c>
      <c r="F52" s="99">
        <v>2.25</v>
      </c>
      <c r="G52" s="101">
        <v>1.7553571428571428</v>
      </c>
      <c r="H52" s="100">
        <v>3.2998169752365798</v>
      </c>
      <c r="I52" s="99">
        <v>4.9933084522401403</v>
      </c>
      <c r="J52" s="101">
        <v>8.3694733655690907</v>
      </c>
      <c r="K52" s="105" t="s">
        <v>29</v>
      </c>
      <c r="L52" s="105" t="s">
        <v>30</v>
      </c>
      <c r="M52" s="105" t="s">
        <v>255</v>
      </c>
    </row>
    <row r="53" spans="1:13" x14ac:dyDescent="0.25">
      <c r="A53" s="60" t="s">
        <v>41</v>
      </c>
      <c r="B53" s="101">
        <v>41.656805026699899</v>
      </c>
      <c r="C53" s="100">
        <v>2</v>
      </c>
      <c r="D53" s="99">
        <v>1</v>
      </c>
      <c r="E53" s="99">
        <v>1.5714285714285714</v>
      </c>
      <c r="F53" s="99">
        <v>1.5</v>
      </c>
      <c r="G53" s="101">
        <v>1.5178571428571428</v>
      </c>
      <c r="H53" s="100">
        <v>3.8570580346666201</v>
      </c>
      <c r="I53" s="99">
        <v>5.0141737083992997</v>
      </c>
      <c r="J53" s="101">
        <v>9.0954702664536793</v>
      </c>
      <c r="K53" s="105" t="s">
        <v>30</v>
      </c>
      <c r="L53" s="105" t="s">
        <v>29</v>
      </c>
      <c r="M53" s="105" t="s">
        <v>254</v>
      </c>
    </row>
    <row r="54" spans="1:13" x14ac:dyDescent="0.25">
      <c r="A54" s="60" t="s">
        <v>58</v>
      </c>
      <c r="B54" s="101">
        <v>16.2004129271</v>
      </c>
      <c r="C54" s="100">
        <v>2</v>
      </c>
      <c r="D54" s="99">
        <v>2.5</v>
      </c>
      <c r="E54" s="99">
        <v>1.2857142857142856</v>
      </c>
      <c r="F54" s="99">
        <v>1.75</v>
      </c>
      <c r="G54" s="101">
        <v>1.8839285714285714</v>
      </c>
      <c r="H54" s="100">
        <v>5.8111512537812997</v>
      </c>
      <c r="I54" s="99">
        <v>5.0190068010942204</v>
      </c>
      <c r="J54" s="101">
        <v>10.7658084437035</v>
      </c>
      <c r="K54" s="105" t="s">
        <v>32</v>
      </c>
      <c r="L54" s="105" t="s">
        <v>32</v>
      </c>
      <c r="M54" s="105" t="s">
        <v>255</v>
      </c>
    </row>
    <row r="55" spans="1:13" x14ac:dyDescent="0.25">
      <c r="A55" s="60" t="s">
        <v>65</v>
      </c>
      <c r="B55" s="101">
        <v>44.3952689889</v>
      </c>
      <c r="C55" s="100">
        <v>1.4000000000000001</v>
      </c>
      <c r="D55" s="99">
        <v>2</v>
      </c>
      <c r="E55" s="99">
        <v>1.5714285714285714</v>
      </c>
      <c r="F55" s="99">
        <v>1.5</v>
      </c>
      <c r="G55" s="101">
        <v>1.6178571428571429</v>
      </c>
      <c r="H55" s="100">
        <v>4.8133791220099003</v>
      </c>
      <c r="I55" s="99">
        <v>5.0388847964731296</v>
      </c>
      <c r="J55" s="101">
        <v>9.8862651030165498</v>
      </c>
      <c r="K55" s="105" t="s">
        <v>30</v>
      </c>
      <c r="L55" s="105" t="s">
        <v>29</v>
      </c>
      <c r="M55" s="105" t="s">
        <v>255</v>
      </c>
    </row>
    <row r="56" spans="1:13" x14ac:dyDescent="0.25">
      <c r="A56" s="60" t="s">
        <v>54</v>
      </c>
      <c r="B56" s="101">
        <v>41.542048884700002</v>
      </c>
      <c r="C56" s="100">
        <v>1.6</v>
      </c>
      <c r="D56" s="99">
        <v>1.5</v>
      </c>
      <c r="E56" s="99">
        <v>1.4285714285714284</v>
      </c>
      <c r="F56" s="99">
        <v>2</v>
      </c>
      <c r="G56" s="101">
        <v>1.6321428571428571</v>
      </c>
      <c r="H56" s="100">
        <v>4.96781735327313</v>
      </c>
      <c r="I56" s="99">
        <v>5.0505861656492099</v>
      </c>
      <c r="J56" s="101">
        <v>9.9996749624145895</v>
      </c>
      <c r="K56" s="105" t="s">
        <v>30</v>
      </c>
      <c r="L56" s="105" t="s">
        <v>29</v>
      </c>
      <c r="M56" s="105" t="s">
        <v>255</v>
      </c>
    </row>
    <row r="57" spans="1:13" x14ac:dyDescent="0.25">
      <c r="A57" s="60" t="s">
        <v>49</v>
      </c>
      <c r="B57" s="101">
        <v>20.2626475462</v>
      </c>
      <c r="C57" s="100">
        <v>1.4000000000000001</v>
      </c>
      <c r="D57" s="99">
        <v>1.5</v>
      </c>
      <c r="E57" s="99">
        <v>1.1428571428571428</v>
      </c>
      <c r="F57" s="99">
        <v>2.25</v>
      </c>
      <c r="G57" s="101">
        <v>1.5732142857142857</v>
      </c>
      <c r="H57" s="100">
        <v>5.2432890559948797</v>
      </c>
      <c r="I57" s="99">
        <v>5.0525066024341996</v>
      </c>
      <c r="J57" s="101">
        <v>10.3435817856756</v>
      </c>
      <c r="K57" s="105" t="s">
        <v>30</v>
      </c>
      <c r="L57" s="105" t="s">
        <v>32</v>
      </c>
      <c r="M57" s="105" t="s">
        <v>254</v>
      </c>
    </row>
    <row r="58" spans="1:13" x14ac:dyDescent="0.25">
      <c r="A58" s="60" t="s">
        <v>48</v>
      </c>
      <c r="B58" s="101">
        <v>182.860403915999</v>
      </c>
      <c r="C58" s="100">
        <v>1.4000000000000001</v>
      </c>
      <c r="D58" s="99">
        <v>2.5</v>
      </c>
      <c r="E58" s="99">
        <v>1.5714285714285714</v>
      </c>
      <c r="F58" s="99">
        <v>2.75</v>
      </c>
      <c r="G58" s="101">
        <v>2.0553571428571429</v>
      </c>
      <c r="H58" s="100">
        <v>4.3186246249061204</v>
      </c>
      <c r="I58" s="99">
        <v>5.0674489181876696</v>
      </c>
      <c r="J58" s="101">
        <v>9.5003937491904598</v>
      </c>
      <c r="K58" s="105" t="s">
        <v>32</v>
      </c>
      <c r="L58" s="105" t="s">
        <v>29</v>
      </c>
      <c r="M58" s="105" t="s">
        <v>255</v>
      </c>
    </row>
    <row r="59" spans="1:13" x14ac:dyDescent="0.25">
      <c r="A59" s="60" t="s">
        <v>80</v>
      </c>
      <c r="B59" s="101">
        <v>206.581413717</v>
      </c>
      <c r="C59" s="100">
        <v>2.3000000000000003</v>
      </c>
      <c r="D59" s="99">
        <v>3</v>
      </c>
      <c r="E59" s="99">
        <v>1</v>
      </c>
      <c r="F59" s="99">
        <v>2.75</v>
      </c>
      <c r="G59" s="101">
        <v>2.2625000000000002</v>
      </c>
      <c r="H59" s="100">
        <v>5.7460382667797303</v>
      </c>
      <c r="I59" s="99">
        <v>5.0892689453948101</v>
      </c>
      <c r="J59" s="101">
        <v>10.9182996598096</v>
      </c>
      <c r="K59" s="105" t="s">
        <v>32</v>
      </c>
      <c r="L59" s="105" t="s">
        <v>32</v>
      </c>
      <c r="M59" s="105" t="s">
        <v>254</v>
      </c>
    </row>
    <row r="60" spans="1:13" x14ac:dyDescent="0.25">
      <c r="A60" s="60" t="s">
        <v>61</v>
      </c>
      <c r="B60" s="101">
        <v>23.3867259365</v>
      </c>
      <c r="C60" s="100">
        <v>1.9000000000000001</v>
      </c>
      <c r="D60" s="99">
        <v>1</v>
      </c>
      <c r="E60" s="99">
        <v>1.1428571428571428</v>
      </c>
      <c r="F60" s="99">
        <v>2.25</v>
      </c>
      <c r="G60" s="101">
        <v>1.5732142857142857</v>
      </c>
      <c r="H60" s="100">
        <v>3.7748137293749799</v>
      </c>
      <c r="I60" s="99">
        <v>5.1181555208758303</v>
      </c>
      <c r="J60" s="101">
        <v>8.9503948084574407</v>
      </c>
      <c r="K60" s="105" t="s">
        <v>30</v>
      </c>
      <c r="L60" s="105" t="s">
        <v>29</v>
      </c>
      <c r="M60" s="105" t="s">
        <v>255</v>
      </c>
    </row>
    <row r="61" spans="1:13" x14ac:dyDescent="0.25">
      <c r="A61" s="60" t="s">
        <v>31</v>
      </c>
      <c r="B61" s="101">
        <v>19.5548964086999</v>
      </c>
      <c r="C61" s="100">
        <v>2.4000000000000004</v>
      </c>
      <c r="D61" s="99">
        <v>1.5</v>
      </c>
      <c r="E61" s="99">
        <v>1.4285714285714284</v>
      </c>
      <c r="F61" s="99">
        <v>1.25</v>
      </c>
      <c r="G61" s="101">
        <v>1.6446428571428573</v>
      </c>
      <c r="H61" s="100">
        <v>3.01506882733432</v>
      </c>
      <c r="I61" s="99">
        <v>5.1435252984854802</v>
      </c>
      <c r="J61" s="101">
        <v>8.3583528957249094</v>
      </c>
      <c r="K61" s="105" t="s">
        <v>29</v>
      </c>
      <c r="L61" s="105" t="s">
        <v>30</v>
      </c>
      <c r="M61" s="105" t="s">
        <v>256</v>
      </c>
    </row>
    <row r="62" spans="1:13" x14ac:dyDescent="0.25">
      <c r="A62" s="60" t="s">
        <v>72</v>
      </c>
      <c r="B62" s="101">
        <v>97.960131788799899</v>
      </c>
      <c r="C62" s="100">
        <v>2.3000000000000003</v>
      </c>
      <c r="D62" s="99">
        <v>2.5</v>
      </c>
      <c r="E62" s="99">
        <v>1.2857142857142856</v>
      </c>
      <c r="F62" s="99">
        <v>2.75</v>
      </c>
      <c r="G62" s="101">
        <v>2.2089285714285714</v>
      </c>
      <c r="H62" s="100">
        <v>5.1709078853269697</v>
      </c>
      <c r="I62" s="99">
        <v>5.1594692385595202</v>
      </c>
      <c r="J62" s="101">
        <v>10.2802206338116</v>
      </c>
      <c r="K62" s="105" t="s">
        <v>32</v>
      </c>
      <c r="L62" s="105" t="s">
        <v>32</v>
      </c>
      <c r="M62" s="105" t="s">
        <v>254</v>
      </c>
    </row>
    <row r="63" spans="1:13" x14ac:dyDescent="0.25">
      <c r="A63" s="60" t="s">
        <v>53</v>
      </c>
      <c r="B63" s="101">
        <v>43.110311660000001</v>
      </c>
      <c r="C63" s="100">
        <v>2.4000000000000004</v>
      </c>
      <c r="D63" s="99">
        <v>3</v>
      </c>
      <c r="E63" s="99">
        <v>1</v>
      </c>
      <c r="F63" s="99">
        <v>2.25</v>
      </c>
      <c r="G63" s="101">
        <v>2.1625000000000001</v>
      </c>
      <c r="H63" s="100">
        <v>5.42565452685038</v>
      </c>
      <c r="I63" s="99">
        <v>5.1621233753224303</v>
      </c>
      <c r="J63" s="101">
        <v>10.597119349480099</v>
      </c>
      <c r="K63" s="105" t="s">
        <v>32</v>
      </c>
      <c r="L63" s="105" t="s">
        <v>32</v>
      </c>
      <c r="M63" s="105" t="s">
        <v>255</v>
      </c>
    </row>
    <row r="64" spans="1:13" x14ac:dyDescent="0.25">
      <c r="A64" s="60" t="s">
        <v>63</v>
      </c>
      <c r="B64" s="101">
        <v>56.814608672299897</v>
      </c>
      <c r="C64" s="100">
        <v>1.4000000000000001</v>
      </c>
      <c r="D64" s="99">
        <v>2.5</v>
      </c>
      <c r="E64" s="99">
        <v>1.1428571428571428</v>
      </c>
      <c r="F64" s="99">
        <v>1.75</v>
      </c>
      <c r="G64" s="101">
        <v>1.6982142857142857</v>
      </c>
      <c r="H64" s="100">
        <v>5.3681220920335297</v>
      </c>
      <c r="I64" s="99">
        <v>5.20892068047125</v>
      </c>
      <c r="J64" s="101">
        <v>10.6509732173021</v>
      </c>
      <c r="K64" s="105" t="s">
        <v>29</v>
      </c>
      <c r="L64" s="105" t="s">
        <v>32</v>
      </c>
      <c r="M64" s="105" t="s">
        <v>255</v>
      </c>
    </row>
    <row r="65" spans="1:13" x14ac:dyDescent="0.25">
      <c r="A65" s="60" t="s">
        <v>60</v>
      </c>
      <c r="B65" s="101">
        <v>84.428982097299894</v>
      </c>
      <c r="C65" s="100">
        <v>2.3000000000000003</v>
      </c>
      <c r="D65" s="99">
        <v>3</v>
      </c>
      <c r="E65" s="99">
        <v>1.4285714285714284</v>
      </c>
      <c r="F65" s="99">
        <v>2.5</v>
      </c>
      <c r="G65" s="101">
        <v>2.3071428571428574</v>
      </c>
      <c r="H65" s="100">
        <v>6.0364748156282904</v>
      </c>
      <c r="I65" s="99">
        <v>5.3382526133504102</v>
      </c>
      <c r="J65" s="101">
        <v>11.317135841328</v>
      </c>
      <c r="K65" s="105" t="s">
        <v>32</v>
      </c>
      <c r="L65" s="105" t="s">
        <v>32</v>
      </c>
      <c r="M65" s="105" t="s">
        <v>254</v>
      </c>
    </row>
    <row r="66" spans="1:13" x14ac:dyDescent="0.25">
      <c r="A66" s="60" t="s">
        <v>79</v>
      </c>
      <c r="B66" s="101">
        <v>190.605222900999</v>
      </c>
      <c r="C66" s="100">
        <v>2.5</v>
      </c>
      <c r="D66" s="99">
        <v>3</v>
      </c>
      <c r="E66" s="99">
        <v>1</v>
      </c>
      <c r="F66" s="99">
        <v>2.75</v>
      </c>
      <c r="G66" s="101">
        <v>2.3125</v>
      </c>
      <c r="H66" s="100">
        <v>5.3188844490389604</v>
      </c>
      <c r="I66" s="99">
        <v>5.4729558012533701</v>
      </c>
      <c r="J66" s="101">
        <v>10.879752512584799</v>
      </c>
      <c r="K66" s="105" t="s">
        <v>32</v>
      </c>
      <c r="L66" s="105" t="s">
        <v>32</v>
      </c>
      <c r="M66" s="105" t="s">
        <v>254</v>
      </c>
    </row>
    <row r="67" spans="1:13" x14ac:dyDescent="0.25">
      <c r="A67" s="60" t="s">
        <v>33</v>
      </c>
      <c r="B67" s="101">
        <v>13.9860489811</v>
      </c>
      <c r="C67" s="100">
        <v>1.4000000000000001</v>
      </c>
      <c r="D67" s="99">
        <v>2</v>
      </c>
      <c r="E67" s="99">
        <v>1.857142857142857</v>
      </c>
      <c r="F67" s="99">
        <v>2</v>
      </c>
      <c r="G67" s="101">
        <v>1.8142857142857143</v>
      </c>
      <c r="H67" s="100">
        <v>4.25</v>
      </c>
      <c r="I67" s="99">
        <v>5.4783036767675402</v>
      </c>
      <c r="J67" s="101">
        <v>9.8868419284005</v>
      </c>
      <c r="K67" s="105" t="s">
        <v>29</v>
      </c>
      <c r="L67" s="105" t="s">
        <v>29</v>
      </c>
      <c r="M67" s="105" t="s">
        <v>255</v>
      </c>
    </row>
    <row r="68" spans="1:13" x14ac:dyDescent="0.25">
      <c r="A68" s="60" t="s">
        <v>83</v>
      </c>
      <c r="B68" s="101">
        <v>123.780828525</v>
      </c>
      <c r="C68" s="100">
        <v>2.1</v>
      </c>
      <c r="D68" s="99">
        <v>3</v>
      </c>
      <c r="E68" s="99">
        <v>1.1428571428571428</v>
      </c>
      <c r="F68" s="99">
        <v>1.5</v>
      </c>
      <c r="G68" s="101">
        <v>1.9357142857142855</v>
      </c>
      <c r="H68" s="100">
        <v>4.86644547877885</v>
      </c>
      <c r="I68" s="99">
        <v>5.4917535899976802</v>
      </c>
      <c r="J68" s="101">
        <v>10.433474203753301</v>
      </c>
      <c r="K68" s="105" t="s">
        <v>32</v>
      </c>
      <c r="L68" s="105" t="s">
        <v>32</v>
      </c>
      <c r="M68" s="105" t="s">
        <v>254</v>
      </c>
    </row>
    <row r="69" spans="1:13" x14ac:dyDescent="0.25">
      <c r="A69" s="60" t="s">
        <v>46</v>
      </c>
      <c r="B69" s="101">
        <v>4.1639821022800003</v>
      </c>
      <c r="C69" s="100">
        <v>1.5</v>
      </c>
      <c r="D69" s="99">
        <v>1.5</v>
      </c>
      <c r="E69" s="99">
        <v>1.1428571428571428</v>
      </c>
      <c r="F69" s="99">
        <v>1.5</v>
      </c>
      <c r="G69" s="101">
        <v>1.4107142857142856</v>
      </c>
      <c r="H69" s="100">
        <v>3.1681705757502501</v>
      </c>
      <c r="I69" s="99">
        <v>5.5897645171161896</v>
      </c>
      <c r="J69" s="101">
        <v>8.9806008399560397</v>
      </c>
      <c r="K69" s="105" t="s">
        <v>30</v>
      </c>
      <c r="L69" s="105" t="s">
        <v>29</v>
      </c>
      <c r="M69" s="105" t="s">
        <v>256</v>
      </c>
    </row>
    <row r="70" spans="1:13" x14ac:dyDescent="0.25">
      <c r="A70" s="60" t="s">
        <v>73</v>
      </c>
      <c r="B70" s="101">
        <v>107.274382185999</v>
      </c>
      <c r="C70" s="100">
        <v>2.1</v>
      </c>
      <c r="D70" s="99">
        <v>2</v>
      </c>
      <c r="E70" s="99">
        <v>0.8571428571428571</v>
      </c>
      <c r="F70" s="99">
        <v>2.5</v>
      </c>
      <c r="G70" s="101">
        <v>1.8642857142857141</v>
      </c>
      <c r="H70" s="100">
        <v>5.1937883314835398</v>
      </c>
      <c r="I70" s="99">
        <v>5.6008816159877401</v>
      </c>
      <c r="J70" s="101">
        <v>10.883453597196301</v>
      </c>
      <c r="K70" s="105" t="s">
        <v>29</v>
      </c>
      <c r="L70" s="105" t="s">
        <v>32</v>
      </c>
      <c r="M70" s="105" t="s">
        <v>255</v>
      </c>
    </row>
    <row r="71" spans="1:13" x14ac:dyDescent="0.25">
      <c r="A71" s="60" t="s">
        <v>57</v>
      </c>
      <c r="B71" s="101">
        <v>24.2876317204</v>
      </c>
      <c r="C71" s="100">
        <v>2.2000000000000002</v>
      </c>
      <c r="D71" s="99">
        <v>3</v>
      </c>
      <c r="E71" s="99">
        <v>1</v>
      </c>
      <c r="F71" s="99">
        <v>2</v>
      </c>
      <c r="G71" s="101">
        <v>2.0499999999999998</v>
      </c>
      <c r="H71" s="100">
        <v>5.2718013391626304</v>
      </c>
      <c r="I71" s="99">
        <v>5.6026443098301897</v>
      </c>
      <c r="J71" s="101">
        <v>10.9189878166705</v>
      </c>
      <c r="K71" s="105" t="s">
        <v>32</v>
      </c>
      <c r="L71" s="105" t="s">
        <v>32</v>
      </c>
      <c r="M71" s="105" t="s">
        <v>255</v>
      </c>
    </row>
    <row r="72" spans="1:13" x14ac:dyDescent="0.25">
      <c r="A72" s="60" t="s">
        <v>68</v>
      </c>
      <c r="B72" s="101">
        <v>12.0349357255</v>
      </c>
      <c r="C72" s="100">
        <v>1.6</v>
      </c>
      <c r="D72" s="99">
        <v>1</v>
      </c>
      <c r="E72" s="99">
        <v>1</v>
      </c>
      <c r="F72" s="99">
        <v>1.25</v>
      </c>
      <c r="G72" s="101">
        <v>1.2124999999999999</v>
      </c>
      <c r="H72" s="100">
        <v>5.9575816177873104</v>
      </c>
      <c r="I72" s="99">
        <v>5.68870176630573</v>
      </c>
      <c r="J72" s="101">
        <v>11.8245569304335</v>
      </c>
      <c r="K72" s="105" t="s">
        <v>30</v>
      </c>
      <c r="L72" s="105" t="s">
        <v>32</v>
      </c>
      <c r="M72" s="105" t="s">
        <v>254</v>
      </c>
    </row>
    <row r="73" spans="1:13" x14ac:dyDescent="0.25">
      <c r="A73" s="60" t="s">
        <v>84</v>
      </c>
      <c r="B73" s="101">
        <v>96.577199252</v>
      </c>
      <c r="C73" s="100">
        <v>2.2000000000000002</v>
      </c>
      <c r="D73" s="99">
        <v>2</v>
      </c>
      <c r="E73" s="99">
        <v>1.1428571428571428</v>
      </c>
      <c r="F73" s="99">
        <v>2.5</v>
      </c>
      <c r="G73" s="101">
        <v>1.9607142857142859</v>
      </c>
      <c r="H73" s="100">
        <v>5.84254038600477</v>
      </c>
      <c r="I73" s="99">
        <v>6.0750332749748504</v>
      </c>
      <c r="J73" s="101">
        <v>11.895505804586101</v>
      </c>
      <c r="K73" s="105" t="s">
        <v>32</v>
      </c>
      <c r="L73" s="105" t="s">
        <v>32</v>
      </c>
      <c r="M73" s="105" t="s">
        <v>254</v>
      </c>
    </row>
    <row r="74" spans="1:13" x14ac:dyDescent="0.25">
      <c r="A74" s="60" t="s">
        <v>77</v>
      </c>
      <c r="B74" s="101">
        <v>108.143126791</v>
      </c>
      <c r="C74" s="100">
        <v>2.8000000000000003</v>
      </c>
      <c r="D74" s="99">
        <v>2.5</v>
      </c>
      <c r="E74" s="99">
        <v>1.1428571428571428</v>
      </c>
      <c r="F74" s="99">
        <v>2.5</v>
      </c>
      <c r="G74" s="101">
        <v>2.2357142857142858</v>
      </c>
      <c r="H74" s="100">
        <v>5.18181213983563</v>
      </c>
      <c r="I74" s="99">
        <v>6.0785566159836097</v>
      </c>
      <c r="J74" s="101">
        <v>11.291641354368601</v>
      </c>
      <c r="K74" s="105" t="s">
        <v>32</v>
      </c>
      <c r="L74" s="105" t="s">
        <v>32</v>
      </c>
      <c r="M74" s="105" t="s">
        <v>255</v>
      </c>
    </row>
    <row r="75" spans="1:13" x14ac:dyDescent="0.25">
      <c r="A75" s="60" t="s">
        <v>78</v>
      </c>
      <c r="B75" s="101">
        <v>32.8099010761999</v>
      </c>
      <c r="C75" s="100">
        <v>2.3000000000000003</v>
      </c>
      <c r="D75" s="99">
        <v>1.5</v>
      </c>
      <c r="E75" s="99">
        <v>1.1428571428571428</v>
      </c>
      <c r="F75" s="99">
        <v>1</v>
      </c>
      <c r="G75" s="101">
        <v>1.4857142857142858</v>
      </c>
      <c r="H75" s="100">
        <v>5.5299951241732099</v>
      </c>
      <c r="I75" s="99">
        <v>6.5746000271329299</v>
      </c>
      <c r="J75" s="101">
        <v>12.113883564575699</v>
      </c>
      <c r="K75" s="105" t="s">
        <v>30</v>
      </c>
      <c r="L75" s="105" t="s">
        <v>32</v>
      </c>
      <c r="M75" s="105" t="s">
        <v>254</v>
      </c>
    </row>
    <row r="76" spans="1:13" x14ac:dyDescent="0.25">
      <c r="A76" s="60" t="s">
        <v>70</v>
      </c>
      <c r="B76" s="101">
        <v>6.5691873898299997</v>
      </c>
      <c r="C76" s="100">
        <v>1.2000000000000002</v>
      </c>
      <c r="D76" s="99">
        <v>2</v>
      </c>
      <c r="E76" s="99">
        <v>1.4285714285714284</v>
      </c>
      <c r="F76" s="99">
        <v>1.5</v>
      </c>
      <c r="G76" s="101">
        <v>1.532142857142857</v>
      </c>
      <c r="H76" s="100" t="s">
        <v>314</v>
      </c>
      <c r="I76" s="99" t="s">
        <v>314</v>
      </c>
      <c r="J76" s="101" t="s">
        <v>314</v>
      </c>
      <c r="K76" s="105" t="s">
        <v>30</v>
      </c>
      <c r="L76" s="105" t="s">
        <v>314</v>
      </c>
      <c r="M76" s="105" t="s">
        <v>254</v>
      </c>
    </row>
    <row r="77" spans="1:13" x14ac:dyDescent="0.25">
      <c r="A77" s="60" t="s">
        <v>69</v>
      </c>
      <c r="B77" s="101">
        <v>16.0307517201</v>
      </c>
      <c r="C77" s="100">
        <v>1.4000000000000001</v>
      </c>
      <c r="D77" s="99">
        <v>1.5</v>
      </c>
      <c r="E77" s="99">
        <v>1.4285714285714284</v>
      </c>
      <c r="F77" s="99">
        <v>1.75</v>
      </c>
      <c r="G77" s="101">
        <v>1.5196428571428573</v>
      </c>
      <c r="H77" s="100" t="s">
        <v>314</v>
      </c>
      <c r="I77" s="99" t="s">
        <v>314</v>
      </c>
      <c r="J77" s="101" t="s">
        <v>314</v>
      </c>
      <c r="K77" s="105" t="s">
        <v>30</v>
      </c>
      <c r="L77" s="105" t="s">
        <v>314</v>
      </c>
      <c r="M77" s="105" t="s">
        <v>255</v>
      </c>
    </row>
    <row r="78" spans="1:13" ht="15.75" thickBot="1" x14ac:dyDescent="0.3">
      <c r="A78" s="62" t="s">
        <v>28</v>
      </c>
      <c r="B78" s="104">
        <v>12.5623252127999</v>
      </c>
      <c r="C78" s="102">
        <v>1.6</v>
      </c>
      <c r="D78" s="103">
        <v>1</v>
      </c>
      <c r="E78" s="103">
        <v>1.4285714285714284</v>
      </c>
      <c r="F78" s="103">
        <v>1</v>
      </c>
      <c r="G78" s="104">
        <v>1.2571428571428571</v>
      </c>
      <c r="H78" s="102" t="s">
        <v>314</v>
      </c>
      <c r="I78" s="103" t="s">
        <v>314</v>
      </c>
      <c r="J78" s="104" t="s">
        <v>314</v>
      </c>
      <c r="K78" s="106" t="s">
        <v>30</v>
      </c>
      <c r="L78" s="106" t="s">
        <v>314</v>
      </c>
      <c r="M78" s="106" t="s">
        <v>255</v>
      </c>
    </row>
  </sheetData>
  <sortState xmlns:xlrd2="http://schemas.microsoft.com/office/spreadsheetml/2017/richdata2" ref="A6:J15">
    <sortCondition descending="1" ref="H6:H15"/>
  </sortState>
  <mergeCells count="5">
    <mergeCell ref="C21:G21"/>
    <mergeCell ref="H21:J21"/>
    <mergeCell ref="K21:K22"/>
    <mergeCell ref="L21:L22"/>
    <mergeCell ref="M21:M22"/>
  </mergeCells>
  <conditionalFormatting sqref="K23:L78">
    <cfRule type="containsText" dxfId="6" priority="1" operator="containsText" text="High">
      <formula>NOT(ISERROR(SEARCH("High",K23)))</formula>
    </cfRule>
    <cfRule type="containsText" dxfId="5" priority="2" operator="containsText" text="High">
      <formula>NOT(ISERROR(SEARCH("High",K23)))</formula>
    </cfRule>
    <cfRule type="containsText" dxfId="4" priority="3" operator="containsText" text="Medium">
      <formula>NOT(ISERROR(SEARCH("Medium",K23)))</formula>
    </cfRule>
    <cfRule type="containsText" dxfId="3" priority="4" operator="containsText" text="Low">
      <formula>NOT(ISERROR(SEARCH("Low",K23)))</formula>
    </cfRule>
    <cfRule type="expression" dxfId="2" priority="6">
      <formula>"if($K$23:$K$78 = ""Low)"</formula>
    </cfRule>
    <cfRule type="cellIs" dxfId="1" priority="7" operator="equal">
      <formula>"Low"</formula>
    </cfRule>
  </conditionalFormatting>
  <conditionalFormatting sqref="K23:K78">
    <cfRule type="containsText" dxfId="0" priority="5" operator="containsText" text="Low">
      <formula>NOT(ISERROR(SEARCH("Low",K23)))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F21B6-AB13-4707-B257-9CFC3BB2FEF5}">
  <dimension ref="A2:N116"/>
  <sheetViews>
    <sheetView topLeftCell="A91" zoomScaleNormal="100" workbookViewId="0">
      <selection activeCell="B111" sqref="B111"/>
    </sheetView>
  </sheetViews>
  <sheetFormatPr defaultRowHeight="15" x14ac:dyDescent="0.25"/>
  <cols>
    <col min="1" max="1" width="43.7109375" bestFit="1" customWidth="1"/>
    <col min="2" max="2" width="56.140625" customWidth="1"/>
    <col min="3" max="3" width="15.7109375" customWidth="1"/>
    <col min="4" max="4" width="18.7109375" customWidth="1"/>
    <col min="5" max="5" width="15.7109375" customWidth="1"/>
    <col min="6" max="6" width="29" customWidth="1"/>
    <col min="7" max="8" width="18.5703125" customWidth="1"/>
    <col min="9" max="9" width="17.7109375" customWidth="1"/>
    <col min="10" max="10" width="14.5703125" customWidth="1"/>
    <col min="11" max="11" width="22" customWidth="1"/>
    <col min="12" max="12" width="14.42578125" customWidth="1"/>
    <col min="13" max="13" width="17" customWidth="1"/>
    <col min="14" max="14" width="16.28515625" customWidth="1"/>
  </cols>
  <sheetData>
    <row r="2" spans="1:14" ht="15.75" x14ac:dyDescent="0.25">
      <c r="A2" s="117" t="s">
        <v>220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</row>
    <row r="4" spans="1:14" ht="15.75" thickBot="1" x14ac:dyDescent="0.3"/>
    <row r="5" spans="1:14" ht="49.5" customHeight="1" x14ac:dyDescent="0.25">
      <c r="A5" s="19" t="s">
        <v>209</v>
      </c>
      <c r="B5" s="23" t="s">
        <v>5</v>
      </c>
      <c r="C5" s="23" t="s">
        <v>6</v>
      </c>
      <c r="D5" s="23" t="s">
        <v>8</v>
      </c>
      <c r="E5" s="23" t="s">
        <v>9</v>
      </c>
      <c r="F5" s="23" t="s">
        <v>10</v>
      </c>
      <c r="G5" s="23" t="s">
        <v>94</v>
      </c>
      <c r="H5" s="23" t="s">
        <v>93</v>
      </c>
      <c r="I5" s="23" t="s">
        <v>17</v>
      </c>
      <c r="J5" s="23" t="s">
        <v>19</v>
      </c>
      <c r="K5" s="23" t="s">
        <v>24</v>
      </c>
      <c r="L5" s="23" t="s">
        <v>25</v>
      </c>
      <c r="M5" s="24" t="s">
        <v>26</v>
      </c>
      <c r="N5" s="11" t="s">
        <v>208</v>
      </c>
    </row>
    <row r="6" spans="1:14" ht="30" x14ac:dyDescent="0.25">
      <c r="B6" s="14" t="s">
        <v>207</v>
      </c>
      <c r="C6" s="14" t="s">
        <v>207</v>
      </c>
      <c r="D6" s="14" t="s">
        <v>207</v>
      </c>
      <c r="E6" s="14" t="s">
        <v>207</v>
      </c>
      <c r="F6" s="14" t="s">
        <v>207</v>
      </c>
      <c r="G6" s="14" t="s">
        <v>207</v>
      </c>
      <c r="H6" s="14" t="s">
        <v>207</v>
      </c>
      <c r="I6" s="14" t="s">
        <v>207</v>
      </c>
      <c r="J6" s="14" t="s">
        <v>207</v>
      </c>
      <c r="K6" s="14" t="s">
        <v>207</v>
      </c>
      <c r="L6" s="14" t="s">
        <v>207</v>
      </c>
      <c r="M6" s="15" t="s">
        <v>207</v>
      </c>
      <c r="N6" s="20">
        <v>1</v>
      </c>
    </row>
    <row r="7" spans="1:14" x14ac:dyDescent="0.25">
      <c r="A7" s="10" t="s">
        <v>194</v>
      </c>
      <c r="B7" s="8">
        <f>_xlfn.PERCENTILE.INC(data_CLEAN!$C$3:$C$58,1/3)</f>
        <v>2.9389746347780882E-2</v>
      </c>
      <c r="C7" s="8">
        <f>_xlfn.PERCENTILE.INC(data_CLEAN!D$3:D$58,1/3)</f>
        <v>3.1618784433593089E-2</v>
      </c>
      <c r="D7" s="8">
        <f>_xlfn.PERCENTILE.INC(data_CLEAN!E$3:E$58,1/3)</f>
        <v>0</v>
      </c>
      <c r="E7" s="8">
        <f>_xlfn.PERCENTILE.INC(data_CLEAN!F$3:F$58,1/3)</f>
        <v>0</v>
      </c>
      <c r="F7" s="8">
        <f>_xlfn.PERCENTILE.INC(data_CLEAN!G$3:G$58,1/3)</f>
        <v>0</v>
      </c>
      <c r="G7" s="8">
        <f>_xlfn.PERCENTILE.INC(data_CLEAN!M$3:M$58,1/3)</f>
        <v>5593.6440969391042</v>
      </c>
      <c r="H7" s="8">
        <f>_xlfn.PERCENTILE.INC(data_CLEAN!N$3:N$58,1/3)</f>
        <v>0</v>
      </c>
      <c r="I7" s="8">
        <f>_xlfn.PERCENTILE.INC(data_CLEAN!P$3:P$58,1/3)</f>
        <v>79.118477666666664</v>
      </c>
      <c r="J7" s="8">
        <f>_xlfn.PERCENTILE.INC(data_CLEAN!R$3:R$58,1/3)</f>
        <v>1.0172211951795722</v>
      </c>
      <c r="K7" s="8">
        <f>_xlfn.PERCENTILE.INC(data_CLEAN!V$3:V$58,1/3)</f>
        <v>227.21666666666667</v>
      </c>
      <c r="L7" s="8">
        <f>_xlfn.PERCENTILE.INC(data_CLEAN!W$3:W$58,1/3)</f>
        <v>2.2333333333333334</v>
      </c>
      <c r="M7" s="9">
        <f>_xlfn.PERCENTILE.INC(data_CLEAN!X$3:X$58,1/3)</f>
        <v>3</v>
      </c>
      <c r="N7" s="20">
        <v>2</v>
      </c>
    </row>
    <row r="8" spans="1:14" ht="15.75" thickBot="1" x14ac:dyDescent="0.3">
      <c r="A8" s="10" t="s">
        <v>195</v>
      </c>
      <c r="B8" s="8">
        <f>_xlfn.PERCENTILE.INC(data_CLEAN!$C$3:$C$58,2/3)</f>
        <v>8.960248740346384E-2</v>
      </c>
      <c r="C8" s="8">
        <f>_xlfn.PERCENTILE.INC(data_CLEAN!D$3:D$58,2/3)</f>
        <v>9.6673355665244584E-2</v>
      </c>
      <c r="D8" s="8">
        <f>_xlfn.PERCENTILE.INC(data_CLEAN!E$3:E$58,2/3)</f>
        <v>1.4680733333333331</v>
      </c>
      <c r="E8" s="8">
        <f>_xlfn.PERCENTILE.INC(data_CLEAN!F$3:F$58,2/3)</f>
        <v>581.41732366666668</v>
      </c>
      <c r="F8" s="8">
        <f>_xlfn.PERCENTILE.INC(data_CLEAN!G$3:G$58,2/3)</f>
        <v>249.73567599999984</v>
      </c>
      <c r="G8" s="8">
        <f>_xlfn.PERCENTILE.INC(data_CLEAN!M$3:M$58,2/3)</f>
        <v>27337.969378238529</v>
      </c>
      <c r="H8" s="8">
        <f>_xlfn.PERCENTILE.INC(data_CLEAN!N$3:N$58,2/3)</f>
        <v>1.9431144508240863</v>
      </c>
      <c r="I8" s="8">
        <f>_xlfn.PERCENTILE.INC(data_CLEAN!P$3:P$58,2/3)</f>
        <v>96.400498999999996</v>
      </c>
      <c r="J8" s="8">
        <f>_xlfn.PERCENTILE.INC(data_CLEAN!R$3:R$58,2/3)</f>
        <v>1.2038669665299464</v>
      </c>
      <c r="K8" s="8">
        <f>_xlfn.PERCENTILE.INC(data_CLEAN!V$3:V$58,2/3)</f>
        <v>381.98333333333329</v>
      </c>
      <c r="L8" s="8">
        <f>_xlfn.PERCENTILE.INC(data_CLEAN!W$3:W$58,2/3)</f>
        <v>5.0333333333333323</v>
      </c>
      <c r="M8" s="9">
        <f>_xlfn.PERCENTILE.INC(data_CLEAN!X$3:X$58,2/3)</f>
        <v>5.6666666666666643</v>
      </c>
      <c r="N8" s="21">
        <v>3</v>
      </c>
    </row>
    <row r="11" spans="1:14" ht="15.75" thickBot="1" x14ac:dyDescent="0.3"/>
    <row r="12" spans="1:14" ht="45" x14ac:dyDescent="0.25">
      <c r="A12" s="19" t="s">
        <v>210</v>
      </c>
      <c r="B12" s="26" t="s">
        <v>215</v>
      </c>
      <c r="C12" s="27" t="s">
        <v>216</v>
      </c>
      <c r="D12" s="27" t="s">
        <v>217</v>
      </c>
      <c r="E12" s="57" t="s">
        <v>218</v>
      </c>
      <c r="F12" s="28" t="s">
        <v>223</v>
      </c>
    </row>
    <row r="13" spans="1:14" x14ac:dyDescent="0.25">
      <c r="A13" s="25" t="s">
        <v>30</v>
      </c>
      <c r="B13" s="29">
        <v>1</v>
      </c>
      <c r="C13" s="18">
        <v>1</v>
      </c>
      <c r="D13" s="18">
        <v>1</v>
      </c>
      <c r="E13" s="58">
        <v>1</v>
      </c>
      <c r="F13" s="30">
        <v>1</v>
      </c>
    </row>
    <row r="14" spans="1:14" x14ac:dyDescent="0.25">
      <c r="A14" s="25" t="s">
        <v>193</v>
      </c>
      <c r="B14" s="29">
        <v>2</v>
      </c>
      <c r="C14" s="18">
        <v>2</v>
      </c>
      <c r="D14" s="18">
        <v>2</v>
      </c>
      <c r="E14" s="58">
        <v>2</v>
      </c>
      <c r="F14" s="30">
        <v>2</v>
      </c>
    </row>
    <row r="15" spans="1:14" ht="15.75" thickBot="1" x14ac:dyDescent="0.3">
      <c r="A15" s="25" t="s">
        <v>32</v>
      </c>
      <c r="B15" s="31">
        <v>3</v>
      </c>
      <c r="C15" s="32">
        <v>3</v>
      </c>
      <c r="D15" s="32">
        <v>3</v>
      </c>
      <c r="E15" s="59">
        <v>3</v>
      </c>
      <c r="F15" s="33">
        <v>3</v>
      </c>
    </row>
    <row r="17" spans="1:5" ht="15.75" thickBot="1" x14ac:dyDescent="0.3"/>
    <row r="18" spans="1:5" ht="45" x14ac:dyDescent="0.25">
      <c r="A18" s="19" t="s">
        <v>219</v>
      </c>
      <c r="B18" s="48" t="s">
        <v>196</v>
      </c>
    </row>
    <row r="19" spans="1:5" x14ac:dyDescent="0.25">
      <c r="A19" s="47" t="s">
        <v>30</v>
      </c>
      <c r="B19" s="20">
        <v>3</v>
      </c>
    </row>
    <row r="20" spans="1:5" x14ac:dyDescent="0.25">
      <c r="A20" s="47" t="s">
        <v>193</v>
      </c>
      <c r="B20" s="20">
        <v>2</v>
      </c>
    </row>
    <row r="21" spans="1:5" ht="15.75" thickBot="1" x14ac:dyDescent="0.3">
      <c r="A21" s="47" t="s">
        <v>32</v>
      </c>
      <c r="B21" s="21">
        <v>1</v>
      </c>
    </row>
    <row r="22" spans="1:5" x14ac:dyDescent="0.25">
      <c r="A22" s="16"/>
      <c r="B22" s="17"/>
      <c r="C22" s="17"/>
    </row>
    <row r="23" spans="1:5" ht="15.75" thickBot="1" x14ac:dyDescent="0.3"/>
    <row r="24" spans="1:5" ht="90" customHeight="1" x14ac:dyDescent="0.25">
      <c r="A24" s="19" t="s">
        <v>211</v>
      </c>
      <c r="B24" s="34" t="s">
        <v>200</v>
      </c>
      <c r="C24" s="35" t="s">
        <v>197</v>
      </c>
      <c r="D24" s="36" t="s">
        <v>21</v>
      </c>
      <c r="E24" s="35" t="s">
        <v>201</v>
      </c>
    </row>
    <row r="25" spans="1:5" x14ac:dyDescent="0.25">
      <c r="A25" s="7">
        <v>1</v>
      </c>
      <c r="B25" s="25" t="s">
        <v>198</v>
      </c>
      <c r="C25" s="20">
        <v>0</v>
      </c>
      <c r="D25" s="37" t="s">
        <v>198</v>
      </c>
      <c r="E25" s="20">
        <v>1</v>
      </c>
    </row>
    <row r="26" spans="1:5" ht="15.75" thickBot="1" x14ac:dyDescent="0.3">
      <c r="A26" s="7">
        <v>0</v>
      </c>
      <c r="B26" s="25" t="s">
        <v>199</v>
      </c>
      <c r="C26" s="21">
        <v>1</v>
      </c>
      <c r="D26" s="37" t="s">
        <v>199</v>
      </c>
      <c r="E26" s="21">
        <v>0</v>
      </c>
    </row>
    <row r="28" spans="1:5" ht="15.75" thickBot="1" x14ac:dyDescent="0.3"/>
    <row r="29" spans="1:5" ht="30" x14ac:dyDescent="0.25">
      <c r="A29" s="19" t="s">
        <v>212</v>
      </c>
      <c r="B29" s="38" t="s">
        <v>18</v>
      </c>
      <c r="C29" s="35" t="s">
        <v>214</v>
      </c>
      <c r="D29" s="42" t="s">
        <v>20</v>
      </c>
      <c r="E29" s="35" t="s">
        <v>203</v>
      </c>
    </row>
    <row r="30" spans="1:5" x14ac:dyDescent="0.25">
      <c r="B30" s="9" t="s">
        <v>202</v>
      </c>
      <c r="C30" s="40">
        <v>3</v>
      </c>
      <c r="D30" s="43" t="s">
        <v>202</v>
      </c>
      <c r="E30" s="40">
        <v>3</v>
      </c>
    </row>
    <row r="31" spans="1:5" x14ac:dyDescent="0.25">
      <c r="A31" s="22" t="s">
        <v>194</v>
      </c>
      <c r="B31" s="9">
        <f>_xlfn.PERCENTILE.INC(data_CLEAN!Q$3:Q$58,1/3)</f>
        <v>6.0952786666666654</v>
      </c>
      <c r="C31" s="40">
        <v>2</v>
      </c>
      <c r="D31" s="43">
        <f>_xlfn.PERCENTILE.INC(data_CLEAN!S$3:S$58,1/3)</f>
        <v>1.0139214595273915</v>
      </c>
      <c r="E31" s="40">
        <v>2</v>
      </c>
    </row>
    <row r="32" spans="1:5" ht="15.75" thickBot="1" x14ac:dyDescent="0.3">
      <c r="A32" s="22" t="s">
        <v>195</v>
      </c>
      <c r="B32" s="9">
        <f>_xlfn.PERCENTILE.INC(data_CLEAN!Q$3:Q$58,2/3)</f>
        <v>7.7047619999999997</v>
      </c>
      <c r="C32" s="41">
        <v>1</v>
      </c>
      <c r="D32" s="43">
        <f>_xlfn.PERCENTILE.INC(data_CLEAN!S$3:S$58,2/3)</f>
        <v>1.0463581531499875</v>
      </c>
      <c r="E32" s="41">
        <v>1</v>
      </c>
    </row>
    <row r="35" spans="1:3" ht="15.75" thickBot="1" x14ac:dyDescent="0.3"/>
    <row r="36" spans="1:3" x14ac:dyDescent="0.25">
      <c r="A36" s="44" t="s">
        <v>213</v>
      </c>
      <c r="B36" s="39" t="s">
        <v>206</v>
      </c>
    </row>
    <row r="37" spans="1:3" x14ac:dyDescent="0.25">
      <c r="A37" s="25" t="s">
        <v>204</v>
      </c>
      <c r="B37" s="45">
        <v>1</v>
      </c>
    </row>
    <row r="38" spans="1:3" ht="15.75" thickBot="1" x14ac:dyDescent="0.3">
      <c r="A38" s="25" t="s">
        <v>205</v>
      </c>
      <c r="B38" s="46">
        <v>0</v>
      </c>
    </row>
    <row r="41" spans="1:3" ht="14.25" customHeight="1" thickBot="1" x14ac:dyDescent="0.3"/>
    <row r="42" spans="1:3" ht="29.25" customHeight="1" thickBot="1" x14ac:dyDescent="0.3">
      <c r="A42" s="120" t="s">
        <v>272</v>
      </c>
      <c r="B42" s="121"/>
      <c r="C42" s="122"/>
    </row>
    <row r="43" spans="1:3" ht="14.25" customHeight="1" x14ac:dyDescent="0.25">
      <c r="A43" s="49" t="s">
        <v>226</v>
      </c>
      <c r="B43" s="50" t="s">
        <v>227</v>
      </c>
      <c r="C43" s="51" t="s">
        <v>224</v>
      </c>
    </row>
    <row r="44" spans="1:3" ht="14.25" customHeight="1" x14ac:dyDescent="0.25">
      <c r="A44" s="52" t="str" cm="1">
        <f t="array" ref="A44:A47">_xlfn.UNIQUE(B53:B75)</f>
        <v>mobility, reliability, and connectvity</v>
      </c>
      <c r="B44" s="53">
        <f>SUMIF($B$53:$B$75,A44,$C$53:$C$75)</f>
        <v>10</v>
      </c>
      <c r="C44" s="54">
        <v>0.25</v>
      </c>
    </row>
    <row r="45" spans="1:3" ht="14.25" customHeight="1" x14ac:dyDescent="0.25">
      <c r="A45" s="52" t="str">
        <v>safety and security</v>
      </c>
      <c r="B45" s="53">
        <f t="shared" ref="B45:B47" si="0">SUMIF($B$53:$B$75,A45,$C$53:$C$75)</f>
        <v>2</v>
      </c>
      <c r="C45" s="54">
        <v>0.25</v>
      </c>
    </row>
    <row r="46" spans="1:3" x14ac:dyDescent="0.25">
      <c r="A46" s="52" t="str">
        <v>asset preservation and technology deployment</v>
      </c>
      <c r="B46" s="53">
        <f t="shared" si="0"/>
        <v>7</v>
      </c>
      <c r="C46" s="54">
        <v>0.25</v>
      </c>
    </row>
    <row r="47" spans="1:3" ht="30.75" thickBot="1" x14ac:dyDescent="0.3">
      <c r="A47" s="70" t="str">
        <v>customer service, stewardship and sustainability, and equity</v>
      </c>
      <c r="B47" s="55">
        <f t="shared" si="0"/>
        <v>4</v>
      </c>
      <c r="C47" s="56">
        <v>0.25</v>
      </c>
    </row>
    <row r="50" spans="1:9" x14ac:dyDescent="0.25">
      <c r="A50" s="118" t="s">
        <v>239</v>
      </c>
      <c r="B50" s="118"/>
      <c r="C50" s="118"/>
      <c r="D50" s="118"/>
      <c r="E50" s="118"/>
      <c r="F50" s="118"/>
      <c r="G50" s="118"/>
      <c r="H50" s="118"/>
      <c r="I50" s="118"/>
    </row>
    <row r="52" spans="1:9" ht="45" x14ac:dyDescent="0.25">
      <c r="A52" s="13" t="s">
        <v>221</v>
      </c>
      <c r="B52" s="13" t="s">
        <v>222</v>
      </c>
      <c r="C52" s="12" t="s">
        <v>225</v>
      </c>
      <c r="D52" s="12" t="s">
        <v>227</v>
      </c>
      <c r="E52" s="12" t="s">
        <v>228</v>
      </c>
      <c r="F52" s="12" t="s">
        <v>229</v>
      </c>
      <c r="G52" s="12" t="s">
        <v>231</v>
      </c>
      <c r="H52" s="12" t="s">
        <v>232</v>
      </c>
    </row>
    <row r="53" spans="1:9" x14ac:dyDescent="0.25">
      <c r="A53" t="s">
        <v>5</v>
      </c>
      <c r="B53" t="s">
        <v>0</v>
      </c>
      <c r="C53">
        <v>1</v>
      </c>
      <c r="D53">
        <f>VLOOKUP(B53,$A$44:$B$47,2,FALSE)</f>
        <v>10</v>
      </c>
      <c r="E53">
        <f>C53/D53</f>
        <v>0.1</v>
      </c>
      <c r="F53">
        <f>VLOOKUP(B53,$A$44:$C$47,3,FALSE)</f>
        <v>0.25</v>
      </c>
      <c r="G53" s="119" t="s">
        <v>230</v>
      </c>
      <c r="H53" s="119" t="s">
        <v>233</v>
      </c>
    </row>
    <row r="54" spans="1:9" x14ac:dyDescent="0.25">
      <c r="A54" t="s">
        <v>6</v>
      </c>
      <c r="B54" t="s">
        <v>0</v>
      </c>
      <c r="C54">
        <v>1</v>
      </c>
      <c r="D54">
        <f t="shared" ref="D54:D75" si="1">VLOOKUP(B54,$A$44:$B$47,2,FALSE)</f>
        <v>10</v>
      </c>
      <c r="E54">
        <f t="shared" ref="E54:E75" si="2">C54/D54</f>
        <v>0.1</v>
      </c>
      <c r="F54">
        <f t="shared" ref="F54:F75" si="3">VLOOKUP(B54,$A$44:$C$47,3,FALSE)</f>
        <v>0.25</v>
      </c>
      <c r="G54" s="119"/>
      <c r="H54" s="119"/>
    </row>
    <row r="55" spans="1:9" x14ac:dyDescent="0.25">
      <c r="A55" t="s">
        <v>8</v>
      </c>
      <c r="B55" t="s">
        <v>0</v>
      </c>
      <c r="C55">
        <v>1</v>
      </c>
      <c r="D55">
        <f t="shared" si="1"/>
        <v>10</v>
      </c>
      <c r="E55">
        <f t="shared" si="2"/>
        <v>0.1</v>
      </c>
      <c r="F55">
        <f t="shared" si="3"/>
        <v>0.25</v>
      </c>
      <c r="G55" s="119"/>
      <c r="H55" s="119"/>
    </row>
    <row r="56" spans="1:9" x14ac:dyDescent="0.25">
      <c r="A56" t="s">
        <v>9</v>
      </c>
      <c r="B56" t="s">
        <v>0</v>
      </c>
      <c r="C56">
        <v>1</v>
      </c>
      <c r="D56">
        <f t="shared" si="1"/>
        <v>10</v>
      </c>
      <c r="E56">
        <f t="shared" si="2"/>
        <v>0.1</v>
      </c>
      <c r="F56">
        <f t="shared" si="3"/>
        <v>0.25</v>
      </c>
      <c r="G56" s="119"/>
      <c r="H56" s="119"/>
    </row>
    <row r="57" spans="1:9" x14ac:dyDescent="0.25">
      <c r="A57" t="s">
        <v>10</v>
      </c>
      <c r="B57" t="s">
        <v>0</v>
      </c>
      <c r="C57">
        <v>1</v>
      </c>
      <c r="D57">
        <f t="shared" si="1"/>
        <v>10</v>
      </c>
      <c r="E57">
        <f t="shared" si="2"/>
        <v>0.1</v>
      </c>
      <c r="F57">
        <f t="shared" si="3"/>
        <v>0.25</v>
      </c>
      <c r="G57" s="119"/>
      <c r="H57" s="119"/>
    </row>
    <row r="58" spans="1:9" x14ac:dyDescent="0.25">
      <c r="A58" s="2" t="s">
        <v>180</v>
      </c>
      <c r="B58" t="s">
        <v>0</v>
      </c>
      <c r="C58">
        <v>1</v>
      </c>
      <c r="D58">
        <f t="shared" si="1"/>
        <v>10</v>
      </c>
      <c r="E58">
        <f t="shared" si="2"/>
        <v>0.1</v>
      </c>
      <c r="F58">
        <f t="shared" si="3"/>
        <v>0.25</v>
      </c>
      <c r="G58" s="119"/>
      <c r="H58" s="119"/>
    </row>
    <row r="59" spans="1:9" x14ac:dyDescent="0.25">
      <c r="A59" s="2" t="s">
        <v>181</v>
      </c>
      <c r="B59" t="s">
        <v>0</v>
      </c>
      <c r="C59">
        <v>1</v>
      </c>
      <c r="D59">
        <f t="shared" si="1"/>
        <v>10</v>
      </c>
      <c r="E59">
        <f t="shared" si="2"/>
        <v>0.1</v>
      </c>
      <c r="F59">
        <f t="shared" si="3"/>
        <v>0.25</v>
      </c>
      <c r="G59" s="119"/>
      <c r="H59" s="119"/>
    </row>
    <row r="60" spans="1:9" x14ac:dyDescent="0.25">
      <c r="A60" s="2" t="s">
        <v>183</v>
      </c>
      <c r="B60" t="s">
        <v>0</v>
      </c>
      <c r="C60">
        <v>1</v>
      </c>
      <c r="D60">
        <f t="shared" si="1"/>
        <v>10</v>
      </c>
      <c r="E60">
        <f t="shared" si="2"/>
        <v>0.1</v>
      </c>
      <c r="F60">
        <f t="shared" si="3"/>
        <v>0.25</v>
      </c>
      <c r="G60" s="119"/>
      <c r="H60" s="119"/>
    </row>
    <row r="61" spans="1:9" x14ac:dyDescent="0.25">
      <c r="A61" s="2" t="s">
        <v>185</v>
      </c>
      <c r="B61" t="s">
        <v>0</v>
      </c>
      <c r="C61">
        <v>1</v>
      </c>
      <c r="D61">
        <f t="shared" si="1"/>
        <v>10</v>
      </c>
      <c r="E61">
        <f t="shared" si="2"/>
        <v>0.1</v>
      </c>
      <c r="F61">
        <f t="shared" si="3"/>
        <v>0.25</v>
      </c>
      <c r="G61" s="119"/>
      <c r="H61" s="119"/>
    </row>
    <row r="62" spans="1:9" x14ac:dyDescent="0.25">
      <c r="A62" t="s">
        <v>87</v>
      </c>
      <c r="B62" t="s">
        <v>0</v>
      </c>
      <c r="C62">
        <v>1</v>
      </c>
      <c r="D62">
        <f t="shared" si="1"/>
        <v>10</v>
      </c>
      <c r="E62">
        <f t="shared" si="2"/>
        <v>0.1</v>
      </c>
      <c r="F62">
        <f t="shared" si="3"/>
        <v>0.25</v>
      </c>
      <c r="G62" s="119"/>
      <c r="H62" s="119"/>
    </row>
    <row r="63" spans="1:9" x14ac:dyDescent="0.25">
      <c r="A63" s="2" t="s">
        <v>94</v>
      </c>
      <c r="B63" t="s">
        <v>1</v>
      </c>
      <c r="C63">
        <v>1</v>
      </c>
      <c r="D63">
        <f t="shared" si="1"/>
        <v>2</v>
      </c>
      <c r="E63">
        <f t="shared" si="2"/>
        <v>0.5</v>
      </c>
      <c r="F63">
        <f t="shared" si="3"/>
        <v>0.25</v>
      </c>
      <c r="G63" s="119"/>
      <c r="H63" s="119"/>
    </row>
    <row r="64" spans="1:9" x14ac:dyDescent="0.25">
      <c r="A64" s="2" t="s">
        <v>93</v>
      </c>
      <c r="B64" t="s">
        <v>1</v>
      </c>
      <c r="C64">
        <v>1</v>
      </c>
      <c r="D64">
        <f t="shared" si="1"/>
        <v>2</v>
      </c>
      <c r="E64">
        <f t="shared" si="2"/>
        <v>0.5</v>
      </c>
      <c r="F64">
        <f t="shared" si="3"/>
        <v>0.25</v>
      </c>
      <c r="G64" s="119"/>
      <c r="H64" s="119"/>
    </row>
    <row r="65" spans="1:8" x14ac:dyDescent="0.25">
      <c r="A65" t="s">
        <v>16</v>
      </c>
      <c r="B65" t="s">
        <v>2</v>
      </c>
      <c r="C65">
        <v>1</v>
      </c>
      <c r="D65">
        <f t="shared" si="1"/>
        <v>7</v>
      </c>
      <c r="E65">
        <f t="shared" si="2"/>
        <v>0.14285714285714285</v>
      </c>
      <c r="F65">
        <f t="shared" si="3"/>
        <v>0.25</v>
      </c>
      <c r="G65" s="119"/>
      <c r="H65" s="119"/>
    </row>
    <row r="66" spans="1:8" x14ac:dyDescent="0.25">
      <c r="A66" t="s">
        <v>17</v>
      </c>
      <c r="B66" t="s">
        <v>2</v>
      </c>
      <c r="C66">
        <v>1</v>
      </c>
      <c r="D66">
        <f t="shared" si="1"/>
        <v>7</v>
      </c>
      <c r="E66">
        <f t="shared" si="2"/>
        <v>0.14285714285714285</v>
      </c>
      <c r="F66">
        <f t="shared" si="3"/>
        <v>0.25</v>
      </c>
      <c r="G66" s="119"/>
      <c r="H66" s="119"/>
    </row>
    <row r="67" spans="1:8" x14ac:dyDescent="0.25">
      <c r="A67" t="s">
        <v>18</v>
      </c>
      <c r="B67" t="s">
        <v>2</v>
      </c>
      <c r="C67">
        <v>1</v>
      </c>
      <c r="D67">
        <f t="shared" si="1"/>
        <v>7</v>
      </c>
      <c r="E67">
        <f t="shared" si="2"/>
        <v>0.14285714285714285</v>
      </c>
      <c r="F67">
        <f t="shared" si="3"/>
        <v>0.25</v>
      </c>
      <c r="G67" s="119"/>
      <c r="H67" s="119"/>
    </row>
    <row r="68" spans="1:8" x14ac:dyDescent="0.25">
      <c r="A68" t="s">
        <v>19</v>
      </c>
      <c r="B68" t="s">
        <v>2</v>
      </c>
      <c r="C68">
        <v>1</v>
      </c>
      <c r="D68">
        <f t="shared" si="1"/>
        <v>7</v>
      </c>
      <c r="E68">
        <f t="shared" si="2"/>
        <v>0.14285714285714285</v>
      </c>
      <c r="F68">
        <f t="shared" si="3"/>
        <v>0.25</v>
      </c>
      <c r="G68" s="119"/>
      <c r="H68" s="119"/>
    </row>
    <row r="69" spans="1:8" x14ac:dyDescent="0.25">
      <c r="A69" t="s">
        <v>20</v>
      </c>
      <c r="B69" t="s">
        <v>2</v>
      </c>
      <c r="C69">
        <v>1</v>
      </c>
      <c r="D69">
        <f t="shared" si="1"/>
        <v>7</v>
      </c>
      <c r="E69">
        <f t="shared" si="2"/>
        <v>0.14285714285714285</v>
      </c>
      <c r="F69">
        <f t="shared" si="3"/>
        <v>0.25</v>
      </c>
      <c r="G69" s="119"/>
      <c r="H69" s="119"/>
    </row>
    <row r="70" spans="1:8" x14ac:dyDescent="0.25">
      <c r="A70" t="s">
        <v>21</v>
      </c>
      <c r="B70" t="s">
        <v>2</v>
      </c>
      <c r="C70">
        <v>1</v>
      </c>
      <c r="D70">
        <f t="shared" si="1"/>
        <v>7</v>
      </c>
      <c r="E70">
        <f t="shared" si="2"/>
        <v>0.14285714285714285</v>
      </c>
      <c r="F70">
        <f t="shared" si="3"/>
        <v>0.25</v>
      </c>
      <c r="G70" s="119"/>
      <c r="H70" s="119"/>
    </row>
    <row r="71" spans="1:8" x14ac:dyDescent="0.25">
      <c r="A71" t="s">
        <v>22</v>
      </c>
      <c r="B71" t="s">
        <v>2</v>
      </c>
      <c r="C71">
        <v>1</v>
      </c>
      <c r="D71">
        <f t="shared" si="1"/>
        <v>7</v>
      </c>
      <c r="E71">
        <f t="shared" si="2"/>
        <v>0.14285714285714285</v>
      </c>
      <c r="F71">
        <f t="shared" si="3"/>
        <v>0.25</v>
      </c>
      <c r="G71" s="119"/>
      <c r="H71" s="119"/>
    </row>
    <row r="72" spans="1:8" x14ac:dyDescent="0.25">
      <c r="A72" t="s">
        <v>24</v>
      </c>
      <c r="B72" t="s">
        <v>3</v>
      </c>
      <c r="C72">
        <v>1</v>
      </c>
      <c r="D72">
        <f t="shared" si="1"/>
        <v>4</v>
      </c>
      <c r="E72">
        <f t="shared" si="2"/>
        <v>0.25</v>
      </c>
      <c r="F72">
        <f t="shared" si="3"/>
        <v>0.25</v>
      </c>
      <c r="G72" s="119"/>
      <c r="H72" s="119"/>
    </row>
    <row r="73" spans="1:8" x14ac:dyDescent="0.25">
      <c r="A73" t="s">
        <v>25</v>
      </c>
      <c r="B73" t="s">
        <v>3</v>
      </c>
      <c r="C73">
        <v>1</v>
      </c>
      <c r="D73">
        <f t="shared" si="1"/>
        <v>4</v>
      </c>
      <c r="E73">
        <f t="shared" si="2"/>
        <v>0.25</v>
      </c>
      <c r="F73">
        <f t="shared" si="3"/>
        <v>0.25</v>
      </c>
      <c r="G73" s="119"/>
      <c r="H73" s="119"/>
    </row>
    <row r="74" spans="1:8" x14ac:dyDescent="0.25">
      <c r="A74" t="s">
        <v>26</v>
      </c>
      <c r="B74" t="s">
        <v>3</v>
      </c>
      <c r="C74">
        <v>1</v>
      </c>
      <c r="D74">
        <f t="shared" si="1"/>
        <v>4</v>
      </c>
      <c r="E74">
        <f t="shared" si="2"/>
        <v>0.25</v>
      </c>
      <c r="F74">
        <f t="shared" si="3"/>
        <v>0.25</v>
      </c>
      <c r="G74" s="119"/>
      <c r="H74" s="119"/>
    </row>
    <row r="75" spans="1:8" x14ac:dyDescent="0.25">
      <c r="A75" t="s">
        <v>223</v>
      </c>
      <c r="B75" t="s">
        <v>3</v>
      </c>
      <c r="C75">
        <v>1</v>
      </c>
      <c r="D75">
        <f t="shared" si="1"/>
        <v>4</v>
      </c>
      <c r="E75">
        <f t="shared" si="2"/>
        <v>0.25</v>
      </c>
      <c r="F75">
        <f t="shared" si="3"/>
        <v>0.25</v>
      </c>
      <c r="G75" s="119"/>
      <c r="H75" s="119"/>
    </row>
    <row r="80" spans="1:8" ht="15.75" thickBot="1" x14ac:dyDescent="0.3"/>
    <row r="81" spans="1:6" x14ac:dyDescent="0.25">
      <c r="A81" s="65" t="s">
        <v>240</v>
      </c>
      <c r="B81" s="66" t="s">
        <v>241</v>
      </c>
      <c r="C81" s="66" t="s">
        <v>242</v>
      </c>
      <c r="D81" s="66" t="s">
        <v>243</v>
      </c>
      <c r="E81" s="66" t="s">
        <v>244</v>
      </c>
      <c r="F81" s="67" t="s">
        <v>245</v>
      </c>
    </row>
    <row r="82" spans="1:6" x14ac:dyDescent="0.25">
      <c r="A82" s="60" t="s">
        <v>273</v>
      </c>
      <c r="B82" s="7" t="s">
        <v>0</v>
      </c>
      <c r="C82" s="7">
        <v>10</v>
      </c>
      <c r="D82" s="7">
        <v>0.1</v>
      </c>
      <c r="E82" s="7">
        <v>0.25</v>
      </c>
      <c r="F82" s="61" t="s">
        <v>246</v>
      </c>
    </row>
    <row r="83" spans="1:6" x14ac:dyDescent="0.25">
      <c r="A83" s="60" t="s">
        <v>274</v>
      </c>
      <c r="B83" s="7" t="s">
        <v>0</v>
      </c>
      <c r="C83" s="7">
        <v>10</v>
      </c>
      <c r="D83" s="7">
        <v>0.1</v>
      </c>
      <c r="E83" s="7">
        <v>0.25</v>
      </c>
      <c r="F83" s="61" t="s">
        <v>246</v>
      </c>
    </row>
    <row r="84" spans="1:6" x14ac:dyDescent="0.25">
      <c r="A84" s="60" t="s">
        <v>8</v>
      </c>
      <c r="B84" s="7" t="s">
        <v>0</v>
      </c>
      <c r="C84" s="7">
        <v>10</v>
      </c>
      <c r="D84" s="7">
        <v>0.1</v>
      </c>
      <c r="E84" s="7">
        <v>0.25</v>
      </c>
      <c r="F84" s="61" t="s">
        <v>246</v>
      </c>
    </row>
    <row r="85" spans="1:6" x14ac:dyDescent="0.25">
      <c r="A85" s="60" t="s">
        <v>275</v>
      </c>
      <c r="B85" s="7" t="s">
        <v>0</v>
      </c>
      <c r="C85" s="7">
        <v>10</v>
      </c>
      <c r="D85" s="7">
        <v>0.1</v>
      </c>
      <c r="E85" s="7">
        <v>0.25</v>
      </c>
      <c r="F85" s="61" t="s">
        <v>246</v>
      </c>
    </row>
    <row r="86" spans="1:6" x14ac:dyDescent="0.25">
      <c r="A86" s="60" t="s">
        <v>276</v>
      </c>
      <c r="B86" s="7" t="s">
        <v>0</v>
      </c>
      <c r="C86" s="7">
        <v>10</v>
      </c>
      <c r="D86" s="7">
        <v>0.1</v>
      </c>
      <c r="E86" s="7">
        <v>0.25</v>
      </c>
      <c r="F86" s="61" t="s">
        <v>246</v>
      </c>
    </row>
    <row r="87" spans="1:6" x14ac:dyDescent="0.25">
      <c r="A87" s="60" t="s">
        <v>277</v>
      </c>
      <c r="B87" s="7" t="s">
        <v>0</v>
      </c>
      <c r="C87" s="7">
        <v>10</v>
      </c>
      <c r="D87" s="7">
        <v>0.1</v>
      </c>
      <c r="E87" s="7">
        <v>0.25</v>
      </c>
      <c r="F87" s="61" t="s">
        <v>247</v>
      </c>
    </row>
    <row r="88" spans="1:6" x14ac:dyDescent="0.25">
      <c r="A88" s="60" t="s">
        <v>278</v>
      </c>
      <c r="B88" s="7" t="s">
        <v>0</v>
      </c>
      <c r="C88" s="7">
        <v>10</v>
      </c>
      <c r="D88" s="7">
        <v>0.1</v>
      </c>
      <c r="E88" s="7">
        <v>0.25</v>
      </c>
      <c r="F88" s="61" t="s">
        <v>247</v>
      </c>
    </row>
    <row r="89" spans="1:6" x14ac:dyDescent="0.25">
      <c r="A89" s="60" t="s">
        <v>279</v>
      </c>
      <c r="B89" s="7" t="s">
        <v>0</v>
      </c>
      <c r="C89" s="7">
        <v>10</v>
      </c>
      <c r="D89" s="7">
        <v>0.1</v>
      </c>
      <c r="E89" s="7">
        <v>0.25</v>
      </c>
      <c r="F89" s="61" t="s">
        <v>247</v>
      </c>
    </row>
    <row r="90" spans="1:6" x14ac:dyDescent="0.25">
      <c r="A90" s="60" t="s">
        <v>280</v>
      </c>
      <c r="B90" s="7" t="s">
        <v>0</v>
      </c>
      <c r="C90" s="7">
        <v>10</v>
      </c>
      <c r="D90" s="7">
        <v>0.1</v>
      </c>
      <c r="E90" s="7">
        <v>0.25</v>
      </c>
      <c r="F90" s="61" t="s">
        <v>247</v>
      </c>
    </row>
    <row r="91" spans="1:6" x14ac:dyDescent="0.25">
      <c r="A91" s="60" t="s">
        <v>87</v>
      </c>
      <c r="B91" s="7" t="s">
        <v>0</v>
      </c>
      <c r="C91" s="7">
        <v>10</v>
      </c>
      <c r="D91" s="7">
        <v>0.1</v>
      </c>
      <c r="E91" s="7">
        <v>0.25</v>
      </c>
      <c r="F91" s="61" t="s">
        <v>248</v>
      </c>
    </row>
    <row r="92" spans="1:6" x14ac:dyDescent="0.25">
      <c r="A92" s="60" t="s">
        <v>94</v>
      </c>
      <c r="B92" s="7" t="s">
        <v>1</v>
      </c>
      <c r="C92" s="7">
        <v>2</v>
      </c>
      <c r="D92" s="7">
        <v>0.5</v>
      </c>
      <c r="E92" s="7">
        <v>0.25</v>
      </c>
      <c r="F92" s="61" t="s">
        <v>246</v>
      </c>
    </row>
    <row r="93" spans="1:6" x14ac:dyDescent="0.25">
      <c r="A93" s="60" t="s">
        <v>281</v>
      </c>
      <c r="B93" s="7" t="s">
        <v>1</v>
      </c>
      <c r="C93" s="7">
        <v>2</v>
      </c>
      <c r="D93" s="7">
        <v>0.5</v>
      </c>
      <c r="E93" s="7">
        <v>0.25</v>
      </c>
      <c r="F93" s="61" t="s">
        <v>246</v>
      </c>
    </row>
    <row r="94" spans="1:6" x14ac:dyDescent="0.25">
      <c r="A94" s="60" t="s">
        <v>282</v>
      </c>
      <c r="B94" s="7" t="s">
        <v>2</v>
      </c>
      <c r="C94" s="7">
        <v>7</v>
      </c>
      <c r="D94" s="7">
        <v>0.14285714285714285</v>
      </c>
      <c r="E94" s="7">
        <v>0.25</v>
      </c>
      <c r="F94" s="61" t="s">
        <v>249</v>
      </c>
    </row>
    <row r="95" spans="1:6" x14ac:dyDescent="0.25">
      <c r="A95" s="60" t="s">
        <v>283</v>
      </c>
      <c r="B95" s="7" t="s">
        <v>2</v>
      </c>
      <c r="C95" s="7">
        <v>7</v>
      </c>
      <c r="D95" s="7">
        <v>0.14285714285714285</v>
      </c>
      <c r="E95" s="7">
        <v>0.25</v>
      </c>
      <c r="F95" s="61" t="s">
        <v>246</v>
      </c>
    </row>
    <row r="96" spans="1:6" x14ac:dyDescent="0.25">
      <c r="A96" s="60" t="s">
        <v>284</v>
      </c>
      <c r="B96" s="7" t="s">
        <v>2</v>
      </c>
      <c r="C96" s="7">
        <v>7</v>
      </c>
      <c r="D96" s="7">
        <v>0.14285714285714285</v>
      </c>
      <c r="E96" s="7">
        <v>0.25</v>
      </c>
      <c r="F96" s="61" t="s">
        <v>250</v>
      </c>
    </row>
    <row r="97" spans="1:6" x14ac:dyDescent="0.25">
      <c r="A97" s="60" t="s">
        <v>285</v>
      </c>
      <c r="B97" s="7" t="s">
        <v>2</v>
      </c>
      <c r="C97" s="7">
        <v>7</v>
      </c>
      <c r="D97" s="7">
        <v>0.14285714285714285</v>
      </c>
      <c r="E97" s="7">
        <v>0.25</v>
      </c>
      <c r="F97" s="61" t="s">
        <v>246</v>
      </c>
    </row>
    <row r="98" spans="1:6" x14ac:dyDescent="0.25">
      <c r="A98" s="60" t="s">
        <v>20</v>
      </c>
      <c r="B98" s="7" t="s">
        <v>2</v>
      </c>
      <c r="C98" s="7">
        <v>7</v>
      </c>
      <c r="D98" s="7">
        <v>0.14285714285714285</v>
      </c>
      <c r="E98" s="7">
        <v>0.25</v>
      </c>
      <c r="F98" s="61" t="s">
        <v>250</v>
      </c>
    </row>
    <row r="99" spans="1:6" x14ac:dyDescent="0.25">
      <c r="A99" s="60" t="s">
        <v>286</v>
      </c>
      <c r="B99" s="7" t="s">
        <v>2</v>
      </c>
      <c r="C99" s="7">
        <v>7</v>
      </c>
      <c r="D99" s="7">
        <v>0.14285714285714285</v>
      </c>
      <c r="E99" s="7">
        <v>0.25</v>
      </c>
      <c r="F99" s="61" t="s">
        <v>251</v>
      </c>
    </row>
    <row r="100" spans="1:6" x14ac:dyDescent="0.25">
      <c r="A100" s="60" t="s">
        <v>22</v>
      </c>
      <c r="B100" s="7" t="s">
        <v>2</v>
      </c>
      <c r="C100" s="7">
        <v>7</v>
      </c>
      <c r="D100" s="7">
        <v>0.14285714285714285</v>
      </c>
      <c r="E100" s="7">
        <v>0.25</v>
      </c>
      <c r="F100" s="61" t="s">
        <v>252</v>
      </c>
    </row>
    <row r="101" spans="1:6" x14ac:dyDescent="0.25">
      <c r="A101" s="60" t="s">
        <v>287</v>
      </c>
      <c r="B101" s="7" t="s">
        <v>3</v>
      </c>
      <c r="C101" s="7">
        <v>4</v>
      </c>
      <c r="D101" s="7">
        <v>0.25</v>
      </c>
      <c r="E101" s="7">
        <v>0.25</v>
      </c>
      <c r="F101" s="61" t="s">
        <v>246</v>
      </c>
    </row>
    <row r="102" spans="1:6" x14ac:dyDescent="0.25">
      <c r="A102" s="60" t="s">
        <v>288</v>
      </c>
      <c r="B102" s="7" t="s">
        <v>3</v>
      </c>
      <c r="C102" s="7">
        <v>4</v>
      </c>
      <c r="D102" s="7">
        <v>0.25</v>
      </c>
      <c r="E102" s="7">
        <v>0.25</v>
      </c>
      <c r="F102" s="61" t="s">
        <v>246</v>
      </c>
    </row>
    <row r="103" spans="1:6" x14ac:dyDescent="0.25">
      <c r="A103" s="60" t="s">
        <v>289</v>
      </c>
      <c r="B103" s="7" t="s">
        <v>3</v>
      </c>
      <c r="C103" s="7">
        <v>4</v>
      </c>
      <c r="D103" s="7">
        <v>0.25</v>
      </c>
      <c r="E103" s="7">
        <v>0.25</v>
      </c>
      <c r="F103" s="61" t="s">
        <v>246</v>
      </c>
    </row>
    <row r="104" spans="1:6" ht="15.75" thickBot="1" x14ac:dyDescent="0.3">
      <c r="A104" s="62" t="s">
        <v>223</v>
      </c>
      <c r="B104" s="63" t="s">
        <v>3</v>
      </c>
      <c r="C104" s="63">
        <v>4</v>
      </c>
      <c r="D104" s="63">
        <v>0.25</v>
      </c>
      <c r="E104" s="63">
        <v>0.25</v>
      </c>
      <c r="F104" s="64" t="s">
        <v>247</v>
      </c>
    </row>
    <row r="108" spans="1:6" ht="15.75" thickBot="1" x14ac:dyDescent="0.3"/>
    <row r="109" spans="1:6" ht="15.75" thickBot="1" x14ac:dyDescent="0.3">
      <c r="A109" s="90" t="s">
        <v>301</v>
      </c>
      <c r="B109" s="91">
        <v>0.33</v>
      </c>
      <c r="C109" s="92">
        <v>0.66</v>
      </c>
    </row>
    <row r="110" spans="1:6" ht="15.75" thickTop="1" x14ac:dyDescent="0.25">
      <c r="A110" s="82" t="s">
        <v>302</v>
      </c>
      <c r="B110" s="16">
        <f>_xlfn.PERCENTILE.INC(data_MAPPING!J2:J54,1/3)</f>
        <v>4.3079950881082398</v>
      </c>
      <c r="C110" s="83">
        <f>_xlfn.PERCENTILE.INC(data_MAPPING!J2:J54,2/3)</f>
        <v>5.062468146269846</v>
      </c>
    </row>
    <row r="111" spans="1:6" x14ac:dyDescent="0.25">
      <c r="A111" s="82" t="s">
        <v>303</v>
      </c>
      <c r="B111" s="16">
        <f>_xlfn.PERCENTILE.INC(data_MAPPING!I2:I54,1/3)</f>
        <v>3.8430229318577402</v>
      </c>
      <c r="C111" s="83">
        <f>_xlfn.PERCENTILE.INC(data_MAPPING!I2:I54,2/3)</f>
        <v>5.1781773883327435</v>
      </c>
    </row>
    <row r="112" spans="1:6" x14ac:dyDescent="0.25">
      <c r="A112" s="82" t="s">
        <v>304</v>
      </c>
      <c r="B112" s="16">
        <f>_xlfn.PERCENTILE.INC(data_MAPPING!K2:K54,1/3)</f>
        <v>8.3729031359729404</v>
      </c>
      <c r="C112" s="83">
        <f>_xlfn.PERCENTILE.INC(data_MAPPING!K2:K54,2/3)</f>
        <v>10.212961897778866</v>
      </c>
    </row>
    <row r="113" spans="1:3" x14ac:dyDescent="0.25">
      <c r="A113" s="82"/>
      <c r="B113" s="16"/>
      <c r="C113" s="83"/>
    </row>
    <row r="114" spans="1:3" x14ac:dyDescent="0.25">
      <c r="A114" s="82"/>
      <c r="B114" s="16"/>
      <c r="C114" s="83"/>
    </row>
    <row r="115" spans="1:3" ht="15.75" thickBot="1" x14ac:dyDescent="0.3">
      <c r="A115" s="87" t="s">
        <v>305</v>
      </c>
      <c r="B115" s="88">
        <v>0.33</v>
      </c>
      <c r="C115" s="89">
        <v>0.66</v>
      </c>
    </row>
    <row r="116" spans="1:3" ht="16.5" thickTop="1" thickBot="1" x14ac:dyDescent="0.3">
      <c r="A116" s="84" t="s">
        <v>238</v>
      </c>
      <c r="B116" s="85">
        <f>_xlfn.PERCENTILE.INC(data_MAPPING!G2:G57,1/3)</f>
        <v>1.6363095238095238</v>
      </c>
      <c r="C116" s="86">
        <f>_xlfn.PERCENTILE.INC(data_MAPPING!G2:G57,2/3)</f>
        <v>1.8684523809523808</v>
      </c>
    </row>
  </sheetData>
  <mergeCells count="5">
    <mergeCell ref="A2:N2"/>
    <mergeCell ref="A50:I50"/>
    <mergeCell ref="G53:G75"/>
    <mergeCell ref="A42:C42"/>
    <mergeCell ref="H53:H7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10562-C2C1-4C7E-9EAE-2D713B30E539}">
  <dimension ref="A1:B58"/>
  <sheetViews>
    <sheetView topLeftCell="A22" workbookViewId="0">
      <selection activeCell="A48" sqref="A48"/>
    </sheetView>
  </sheetViews>
  <sheetFormatPr defaultRowHeight="15" x14ac:dyDescent="0.25"/>
  <cols>
    <col min="1" max="1" width="25" customWidth="1"/>
    <col min="2" max="4" width="11.7109375" bestFit="1" customWidth="1"/>
    <col min="5" max="5" width="10.7109375" bestFit="1" customWidth="1"/>
    <col min="6" max="8" width="11.7109375" bestFit="1" customWidth="1"/>
    <col min="9" max="9" width="10.7109375" bestFit="1" customWidth="1"/>
    <col min="10" max="12" width="11.7109375" bestFit="1" customWidth="1"/>
    <col min="13" max="13" width="10.7109375" bestFit="1" customWidth="1"/>
    <col min="14" max="14" width="9.7109375" bestFit="1" customWidth="1"/>
    <col min="15" max="17" width="10.7109375" bestFit="1" customWidth="1"/>
    <col min="18" max="18" width="9.7109375" bestFit="1" customWidth="1"/>
    <col min="19" max="19" width="10.7109375" bestFit="1" customWidth="1"/>
    <col min="20" max="22" width="9.7109375" bestFit="1" customWidth="1"/>
    <col min="23" max="23" width="2" bestFit="1" customWidth="1"/>
    <col min="24" max="27" width="9" bestFit="1" customWidth="1"/>
    <col min="28" max="33" width="10" bestFit="1" customWidth="1"/>
    <col min="34" max="45" width="11" bestFit="1" customWidth="1"/>
    <col min="46" max="46" width="12" bestFit="1" customWidth="1"/>
    <col min="47" max="47" width="11" bestFit="1" customWidth="1"/>
    <col min="48" max="52" width="12" bestFit="1" customWidth="1"/>
    <col min="53" max="53" width="11.28515625" bestFit="1" customWidth="1"/>
  </cols>
  <sheetData>
    <row r="1" spans="1:2" x14ac:dyDescent="0.25">
      <c r="A1" t="s">
        <v>4</v>
      </c>
      <c r="B1" t="s">
        <v>95</v>
      </c>
    </row>
    <row r="3" spans="1:2" x14ac:dyDescent="0.25">
      <c r="A3" t="s">
        <v>28</v>
      </c>
      <c r="B3">
        <v>12.5623252127999</v>
      </c>
    </row>
    <row r="4" spans="1:2" x14ac:dyDescent="0.25">
      <c r="A4" t="s">
        <v>31</v>
      </c>
      <c r="B4">
        <v>19.5548964086999</v>
      </c>
    </row>
    <row r="5" spans="1:2" x14ac:dyDescent="0.25">
      <c r="A5" t="s">
        <v>33</v>
      </c>
      <c r="B5">
        <v>13.9860489811</v>
      </c>
    </row>
    <row r="6" spans="1:2" x14ac:dyDescent="0.25">
      <c r="A6" t="s">
        <v>34</v>
      </c>
      <c r="B6">
        <v>97.643793810199895</v>
      </c>
    </row>
    <row r="7" spans="1:2" x14ac:dyDescent="0.25">
      <c r="A7" t="s">
        <v>35</v>
      </c>
      <c r="B7">
        <v>76.826502077599898</v>
      </c>
    </row>
    <row r="8" spans="1:2" x14ac:dyDescent="0.25">
      <c r="A8" t="s">
        <v>36</v>
      </c>
      <c r="B8">
        <v>3.4067871411100001</v>
      </c>
    </row>
    <row r="9" spans="1:2" x14ac:dyDescent="0.25">
      <c r="A9" t="s">
        <v>37</v>
      </c>
      <c r="B9">
        <v>27.275757023800001</v>
      </c>
    </row>
    <row r="10" spans="1:2" x14ac:dyDescent="0.25">
      <c r="A10" t="s">
        <v>38</v>
      </c>
      <c r="B10">
        <v>60.320465667299899</v>
      </c>
    </row>
    <row r="11" spans="1:2" x14ac:dyDescent="0.25">
      <c r="A11" t="s">
        <v>39</v>
      </c>
      <c r="B11">
        <v>20.004861967899899</v>
      </c>
    </row>
    <row r="12" spans="1:2" x14ac:dyDescent="0.25">
      <c r="A12" t="s">
        <v>40</v>
      </c>
      <c r="B12">
        <v>76.142924098199899</v>
      </c>
    </row>
    <row r="13" spans="1:2" x14ac:dyDescent="0.25">
      <c r="A13" t="s">
        <v>41</v>
      </c>
      <c r="B13">
        <v>41.656805026699899</v>
      </c>
    </row>
    <row r="14" spans="1:2" x14ac:dyDescent="0.25">
      <c r="A14" t="s">
        <v>42</v>
      </c>
      <c r="B14">
        <v>18.352812943499899</v>
      </c>
    </row>
    <row r="15" spans="1:2" x14ac:dyDescent="0.25">
      <c r="A15" t="s">
        <v>43</v>
      </c>
      <c r="B15">
        <v>44.268066668400003</v>
      </c>
    </row>
    <row r="16" spans="1:2" x14ac:dyDescent="0.25">
      <c r="A16" t="s">
        <v>44</v>
      </c>
      <c r="B16">
        <v>4.2164203195200001</v>
      </c>
    </row>
    <row r="17" spans="1:2" x14ac:dyDescent="0.25">
      <c r="A17" t="s">
        <v>45</v>
      </c>
      <c r="B17">
        <v>26.949391069800001</v>
      </c>
    </row>
    <row r="18" spans="1:2" x14ac:dyDescent="0.25">
      <c r="A18" t="s">
        <v>46</v>
      </c>
      <c r="B18">
        <v>4.1639821022800003</v>
      </c>
    </row>
    <row r="19" spans="1:2" x14ac:dyDescent="0.25">
      <c r="A19" t="s">
        <v>47</v>
      </c>
      <c r="B19">
        <v>42.291837041199898</v>
      </c>
    </row>
    <row r="20" spans="1:2" x14ac:dyDescent="0.25">
      <c r="A20" t="s">
        <v>48</v>
      </c>
      <c r="B20">
        <v>182.860403915999</v>
      </c>
    </row>
    <row r="21" spans="1:2" x14ac:dyDescent="0.25">
      <c r="A21" t="s">
        <v>49</v>
      </c>
      <c r="B21">
        <v>20.2626475462</v>
      </c>
    </row>
    <row r="22" spans="1:2" x14ac:dyDescent="0.25">
      <c r="A22" t="s">
        <v>50</v>
      </c>
      <c r="B22">
        <v>90.816483914100004</v>
      </c>
    </row>
    <row r="23" spans="1:2" x14ac:dyDescent="0.25">
      <c r="A23" t="s">
        <v>51</v>
      </c>
      <c r="B23">
        <v>35.996736132800002</v>
      </c>
    </row>
    <row r="24" spans="1:2" x14ac:dyDescent="0.25">
      <c r="A24" t="s">
        <v>52</v>
      </c>
      <c r="B24">
        <v>56.3240863179999</v>
      </c>
    </row>
    <row r="25" spans="1:2" x14ac:dyDescent="0.25">
      <c r="A25" t="s">
        <v>53</v>
      </c>
      <c r="B25">
        <v>43.110311660000001</v>
      </c>
    </row>
    <row r="26" spans="1:2" x14ac:dyDescent="0.25">
      <c r="A26" t="s">
        <v>54</v>
      </c>
      <c r="B26">
        <v>41.542048884700002</v>
      </c>
    </row>
    <row r="27" spans="1:2" x14ac:dyDescent="0.25">
      <c r="A27" t="s">
        <v>55</v>
      </c>
      <c r="B27">
        <v>76.8165697300999</v>
      </c>
    </row>
    <row r="28" spans="1:2" x14ac:dyDescent="0.25">
      <c r="A28" t="s">
        <v>56</v>
      </c>
      <c r="B28">
        <v>75.904228896299898</v>
      </c>
    </row>
    <row r="29" spans="1:2" x14ac:dyDescent="0.25">
      <c r="A29" t="s">
        <v>57</v>
      </c>
      <c r="B29">
        <v>24.2876317204</v>
      </c>
    </row>
    <row r="30" spans="1:2" x14ac:dyDescent="0.25">
      <c r="A30" t="s">
        <v>58</v>
      </c>
      <c r="B30">
        <v>16.2004129271</v>
      </c>
    </row>
    <row r="31" spans="1:2" x14ac:dyDescent="0.25">
      <c r="A31" t="s">
        <v>59</v>
      </c>
      <c r="B31">
        <v>16.3123234551</v>
      </c>
    </row>
    <row r="32" spans="1:2" x14ac:dyDescent="0.25">
      <c r="A32" t="s">
        <v>60</v>
      </c>
      <c r="B32">
        <v>84.428982097299894</v>
      </c>
    </row>
    <row r="33" spans="1:2" x14ac:dyDescent="0.25">
      <c r="A33" t="s">
        <v>61</v>
      </c>
      <c r="B33">
        <v>23.3867259365</v>
      </c>
    </row>
    <row r="34" spans="1:2" x14ac:dyDescent="0.25">
      <c r="A34" t="s">
        <v>62</v>
      </c>
      <c r="B34">
        <v>21.4947777289999</v>
      </c>
    </row>
    <row r="35" spans="1:2" x14ac:dyDescent="0.25">
      <c r="A35" t="s">
        <v>63</v>
      </c>
      <c r="B35">
        <v>56.814608672299897</v>
      </c>
    </row>
    <row r="36" spans="1:2" x14ac:dyDescent="0.25">
      <c r="A36" t="s">
        <v>64</v>
      </c>
      <c r="B36">
        <v>95.0268986208999</v>
      </c>
    </row>
    <row r="37" spans="1:2" x14ac:dyDescent="0.25">
      <c r="A37" t="s">
        <v>65</v>
      </c>
      <c r="B37">
        <v>44.3952689889</v>
      </c>
    </row>
    <row r="38" spans="1:2" x14ac:dyDescent="0.25">
      <c r="A38" t="s">
        <v>66</v>
      </c>
      <c r="B38">
        <v>42.901241016900002</v>
      </c>
    </row>
    <row r="39" spans="1:2" x14ac:dyDescent="0.25">
      <c r="A39" t="s">
        <v>67</v>
      </c>
      <c r="B39">
        <v>20.8341330292</v>
      </c>
    </row>
    <row r="40" spans="1:2" x14ac:dyDescent="0.25">
      <c r="A40" t="s">
        <v>68</v>
      </c>
      <c r="B40">
        <v>12.0349357255</v>
      </c>
    </row>
    <row r="41" spans="1:2" x14ac:dyDescent="0.25">
      <c r="A41" t="s">
        <v>69</v>
      </c>
      <c r="B41">
        <v>16.0307517201</v>
      </c>
    </row>
    <row r="42" spans="1:2" x14ac:dyDescent="0.25">
      <c r="A42" t="s">
        <v>70</v>
      </c>
      <c r="B42">
        <v>6.5691873898299997</v>
      </c>
    </row>
    <row r="43" spans="1:2" x14ac:dyDescent="0.25">
      <c r="A43" t="s">
        <v>71</v>
      </c>
      <c r="B43">
        <v>21.489188390100001</v>
      </c>
    </row>
    <row r="44" spans="1:2" x14ac:dyDescent="0.25">
      <c r="A44" t="s">
        <v>72</v>
      </c>
      <c r="B44">
        <v>97.960131788799899</v>
      </c>
    </row>
    <row r="45" spans="1:2" x14ac:dyDescent="0.25">
      <c r="A45" t="s">
        <v>73</v>
      </c>
      <c r="B45">
        <v>107.274382185999</v>
      </c>
    </row>
    <row r="46" spans="1:2" x14ac:dyDescent="0.25">
      <c r="A46" t="s">
        <v>74</v>
      </c>
      <c r="B46">
        <v>114.62000684900001</v>
      </c>
    </row>
    <row r="47" spans="1:2" x14ac:dyDescent="0.25">
      <c r="A47" t="s">
        <v>75</v>
      </c>
      <c r="B47">
        <v>34.463288233299899</v>
      </c>
    </row>
    <row r="48" spans="1:2" x14ac:dyDescent="0.25">
      <c r="A48" t="s">
        <v>76</v>
      </c>
      <c r="B48">
        <v>168.085317269</v>
      </c>
    </row>
    <row r="49" spans="1:2" x14ac:dyDescent="0.25">
      <c r="A49" t="s">
        <v>77</v>
      </c>
      <c r="B49">
        <v>108.143126791</v>
      </c>
    </row>
    <row r="50" spans="1:2" x14ac:dyDescent="0.25">
      <c r="A50" t="s">
        <v>78</v>
      </c>
      <c r="B50">
        <v>32.8099010761999</v>
      </c>
    </row>
    <row r="51" spans="1:2" x14ac:dyDescent="0.25">
      <c r="A51" t="s">
        <v>79</v>
      </c>
      <c r="B51">
        <v>190.605222900999</v>
      </c>
    </row>
    <row r="52" spans="1:2" x14ac:dyDescent="0.25">
      <c r="A52" t="s">
        <v>80</v>
      </c>
      <c r="B52">
        <v>206.581413717</v>
      </c>
    </row>
    <row r="53" spans="1:2" x14ac:dyDescent="0.25">
      <c r="A53" t="s">
        <v>81</v>
      </c>
      <c r="B53">
        <v>195.19672245000001</v>
      </c>
    </row>
    <row r="54" spans="1:2" x14ac:dyDescent="0.25">
      <c r="A54" t="s">
        <v>82</v>
      </c>
      <c r="B54">
        <v>122.665972260999</v>
      </c>
    </row>
    <row r="55" spans="1:2" x14ac:dyDescent="0.25">
      <c r="A55" t="s">
        <v>83</v>
      </c>
      <c r="B55">
        <v>123.780828525</v>
      </c>
    </row>
    <row r="56" spans="1:2" x14ac:dyDescent="0.25">
      <c r="A56" t="s">
        <v>84</v>
      </c>
      <c r="B56">
        <v>96.577199252</v>
      </c>
    </row>
    <row r="57" spans="1:2" x14ac:dyDescent="0.25">
      <c r="A57" t="s">
        <v>85</v>
      </c>
      <c r="B57">
        <v>169.551014127</v>
      </c>
    </row>
    <row r="58" spans="1:2" x14ac:dyDescent="0.25">
      <c r="A58" t="s">
        <v>86</v>
      </c>
      <c r="B58">
        <v>97.141262682700003</v>
      </c>
    </row>
  </sheetData>
  <sortState xmlns:xlrd2="http://schemas.microsoft.com/office/spreadsheetml/2017/richdata2" ref="A3:B58">
    <sortCondition ref="A3:A58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F9003-C732-41C4-831F-649EBF3D3578}">
  <dimension ref="A1:K57"/>
  <sheetViews>
    <sheetView topLeftCell="A16" workbookViewId="0">
      <selection activeCell="A47" sqref="A47"/>
    </sheetView>
  </sheetViews>
  <sheetFormatPr defaultRowHeight="15" x14ac:dyDescent="0.25"/>
  <cols>
    <col min="1" max="1" width="16.42578125" style="3" customWidth="1"/>
    <col min="2" max="2" width="15.7109375" style="4" bestFit="1" customWidth="1"/>
    <col min="3" max="3" width="12.28515625" style="3" bestFit="1" customWidth="1"/>
    <col min="4" max="4" width="18.85546875" style="4" bestFit="1" customWidth="1"/>
    <col min="5" max="5" width="11" style="3" bestFit="1" customWidth="1"/>
    <col min="6" max="6" width="10.5703125" style="3" bestFit="1" customWidth="1"/>
    <col min="7" max="7" width="15.7109375" style="4" bestFit="1" customWidth="1"/>
    <col min="8" max="8" width="11.42578125" style="3" bestFit="1" customWidth="1"/>
    <col min="9" max="9" width="14.7109375" style="4" bestFit="1" customWidth="1"/>
    <col min="10" max="10" width="8.7109375" style="3" bestFit="1" customWidth="1"/>
    <col min="11" max="11" width="13.140625" style="3" customWidth="1"/>
  </cols>
  <sheetData>
    <row r="1" spans="1:11" x14ac:dyDescent="0.25">
      <c r="A1" s="3" t="s">
        <v>96</v>
      </c>
      <c r="B1" s="4" t="s">
        <v>97</v>
      </c>
      <c r="C1" s="3" t="s">
        <v>98</v>
      </c>
      <c r="D1" s="4" t="s">
        <v>99</v>
      </c>
      <c r="E1" s="3" t="s">
        <v>100</v>
      </c>
      <c r="F1" s="3" t="s">
        <v>101</v>
      </c>
      <c r="G1" s="4" t="s">
        <v>95</v>
      </c>
      <c r="H1" s="3" t="s">
        <v>102</v>
      </c>
      <c r="I1" s="4" t="s">
        <v>103</v>
      </c>
      <c r="J1" s="3" t="s">
        <v>104</v>
      </c>
      <c r="K1" s="3" t="s">
        <v>105</v>
      </c>
    </row>
    <row r="2" spans="1:11" x14ac:dyDescent="0.25">
      <c r="A2" t="s">
        <v>28</v>
      </c>
      <c r="B2" s="4">
        <v>12.562325212799999</v>
      </c>
      <c r="C2" s="3" t="s">
        <v>106</v>
      </c>
      <c r="D2" s="4">
        <v>22824.638308400001</v>
      </c>
      <c r="E2" s="3" t="s">
        <v>28</v>
      </c>
      <c r="F2" s="3" t="s">
        <v>28</v>
      </c>
      <c r="G2" s="4">
        <v>12.562325212799999</v>
      </c>
      <c r="H2" s="3" t="s">
        <v>28</v>
      </c>
      <c r="I2" s="4">
        <v>0</v>
      </c>
      <c r="J2" s="3">
        <v>1</v>
      </c>
      <c r="K2" s="3" t="s">
        <v>30</v>
      </c>
    </row>
    <row r="3" spans="1:11" x14ac:dyDescent="0.25">
      <c r="A3" t="s">
        <v>31</v>
      </c>
      <c r="B3" s="4">
        <v>19.554896408699999</v>
      </c>
      <c r="C3" s="3" t="s">
        <v>108</v>
      </c>
      <c r="D3" s="4">
        <v>36811.213249300003</v>
      </c>
      <c r="E3" s="3" t="s">
        <v>31</v>
      </c>
      <c r="F3" s="3" t="s">
        <v>109</v>
      </c>
      <c r="G3" s="4">
        <v>19.554896408699999</v>
      </c>
      <c r="H3" s="3" t="s">
        <v>31</v>
      </c>
      <c r="I3" s="4">
        <v>0</v>
      </c>
      <c r="J3" s="3">
        <v>2</v>
      </c>
      <c r="K3" s="3" t="s">
        <v>30</v>
      </c>
    </row>
    <row r="4" spans="1:11" x14ac:dyDescent="0.25">
      <c r="A4" t="s">
        <v>33</v>
      </c>
      <c r="B4" s="4">
        <v>13.9860489811</v>
      </c>
      <c r="C4" s="3" t="s">
        <v>106</v>
      </c>
      <c r="D4" s="4">
        <v>25132.155931000001</v>
      </c>
      <c r="E4" s="3" t="s">
        <v>33</v>
      </c>
      <c r="F4" s="3" t="s">
        <v>110</v>
      </c>
      <c r="G4" s="4">
        <v>13.9860489811</v>
      </c>
      <c r="H4" s="3" t="s">
        <v>33</v>
      </c>
      <c r="I4" s="4">
        <v>0</v>
      </c>
      <c r="J4" s="3">
        <v>3</v>
      </c>
      <c r="K4" s="3" t="s">
        <v>30</v>
      </c>
    </row>
    <row r="5" spans="1:11" x14ac:dyDescent="0.25">
      <c r="A5" t="s">
        <v>34</v>
      </c>
      <c r="B5" s="4">
        <v>97.643793810199995</v>
      </c>
      <c r="C5" s="3" t="s">
        <v>106</v>
      </c>
      <c r="D5" s="4">
        <v>178324.04670199999</v>
      </c>
      <c r="E5" s="3" t="s">
        <v>34</v>
      </c>
      <c r="F5" s="3" t="s">
        <v>111</v>
      </c>
      <c r="G5" s="4">
        <v>97.643793810199995</v>
      </c>
      <c r="H5" s="3" t="s">
        <v>34</v>
      </c>
      <c r="I5" s="4">
        <v>0</v>
      </c>
      <c r="J5" s="3">
        <v>4</v>
      </c>
      <c r="K5" s="3" t="s">
        <v>30</v>
      </c>
    </row>
    <row r="6" spans="1:11" x14ac:dyDescent="0.25">
      <c r="A6" t="s">
        <v>35</v>
      </c>
      <c r="B6" s="4">
        <v>76.826502077599997</v>
      </c>
      <c r="C6" s="3" t="s">
        <v>106</v>
      </c>
      <c r="D6" s="4">
        <v>139249.38816100001</v>
      </c>
      <c r="E6" s="3" t="s">
        <v>35</v>
      </c>
      <c r="F6" s="3" t="s">
        <v>112</v>
      </c>
      <c r="G6" s="4">
        <v>76.826502077599997</v>
      </c>
      <c r="H6" s="3" t="s">
        <v>35</v>
      </c>
      <c r="I6" s="4">
        <v>0</v>
      </c>
      <c r="J6" s="3">
        <v>5</v>
      </c>
      <c r="K6" s="3" t="s">
        <v>30</v>
      </c>
    </row>
    <row r="7" spans="1:11" x14ac:dyDescent="0.25">
      <c r="A7" t="s">
        <v>36</v>
      </c>
      <c r="B7" s="4">
        <v>3.4067871411100001</v>
      </c>
      <c r="C7" s="3" t="s">
        <v>106</v>
      </c>
      <c r="D7" s="4">
        <v>6120.7445977300004</v>
      </c>
      <c r="E7" s="3" t="s">
        <v>36</v>
      </c>
      <c r="F7" s="3" t="s">
        <v>113</v>
      </c>
      <c r="G7" s="4">
        <v>3.4067871411100001</v>
      </c>
      <c r="H7" s="3" t="s">
        <v>36</v>
      </c>
      <c r="I7" s="4">
        <v>0</v>
      </c>
      <c r="J7" s="3">
        <v>6</v>
      </c>
      <c r="K7" s="3" t="s">
        <v>30</v>
      </c>
    </row>
    <row r="8" spans="1:11" x14ac:dyDescent="0.25">
      <c r="A8" t="s">
        <v>37</v>
      </c>
      <c r="B8" s="4">
        <v>27.275757023800001</v>
      </c>
      <c r="C8" s="3" t="s">
        <v>106</v>
      </c>
      <c r="D8" s="4">
        <v>49219.803081500002</v>
      </c>
      <c r="E8" s="3" t="s">
        <v>37</v>
      </c>
      <c r="F8" s="3" t="s">
        <v>114</v>
      </c>
      <c r="G8" s="4">
        <v>27.275757023800001</v>
      </c>
      <c r="H8" s="3" t="s">
        <v>37</v>
      </c>
      <c r="I8" s="4">
        <v>0</v>
      </c>
      <c r="J8" s="3">
        <v>7</v>
      </c>
      <c r="K8" s="3" t="s">
        <v>30</v>
      </c>
    </row>
    <row r="9" spans="1:11" x14ac:dyDescent="0.25">
      <c r="A9" t="s">
        <v>38</v>
      </c>
      <c r="B9" s="4">
        <v>60.320465667299999</v>
      </c>
      <c r="C9" s="3" t="s">
        <v>106</v>
      </c>
      <c r="D9" s="4">
        <v>108856.438442</v>
      </c>
      <c r="E9" s="3" t="s">
        <v>38</v>
      </c>
      <c r="F9" s="3" t="s">
        <v>115</v>
      </c>
      <c r="G9" s="4">
        <v>60.320465667299999</v>
      </c>
      <c r="H9" s="3" t="s">
        <v>38</v>
      </c>
      <c r="I9" s="4">
        <v>1.8938832090700001E-3</v>
      </c>
      <c r="J9" s="3">
        <v>8</v>
      </c>
      <c r="K9" s="3" t="s">
        <v>193</v>
      </c>
    </row>
    <row r="10" spans="1:11" x14ac:dyDescent="0.25">
      <c r="A10" t="s">
        <v>39</v>
      </c>
      <c r="B10" s="4">
        <v>20.004861967899998</v>
      </c>
      <c r="C10" s="3" t="s">
        <v>106</v>
      </c>
      <c r="D10" s="4">
        <v>36081.562264599997</v>
      </c>
      <c r="E10" s="3" t="s">
        <v>39</v>
      </c>
      <c r="F10" s="3" t="s">
        <v>116</v>
      </c>
      <c r="G10" s="4">
        <v>20.004861967899998</v>
      </c>
      <c r="H10" s="3" t="s">
        <v>39</v>
      </c>
      <c r="I10" s="4">
        <v>0</v>
      </c>
      <c r="J10" s="3">
        <v>9</v>
      </c>
      <c r="K10" s="3" t="s">
        <v>30</v>
      </c>
    </row>
    <row r="11" spans="1:11" x14ac:dyDescent="0.25">
      <c r="A11" t="s">
        <v>40</v>
      </c>
      <c r="B11" s="4">
        <v>76.142924098199998</v>
      </c>
      <c r="C11" s="3" t="s">
        <v>106</v>
      </c>
      <c r="D11" s="4">
        <v>137688.41770600001</v>
      </c>
      <c r="E11" s="3" t="s">
        <v>40</v>
      </c>
      <c r="F11" s="3" t="s">
        <v>117</v>
      </c>
      <c r="G11" s="4">
        <v>76.142924098199998</v>
      </c>
      <c r="H11" s="3" t="s">
        <v>40</v>
      </c>
      <c r="I11" s="4">
        <v>8.0987094306799996E-4</v>
      </c>
      <c r="J11" s="3">
        <v>10</v>
      </c>
      <c r="K11" s="3" t="s">
        <v>193</v>
      </c>
    </row>
    <row r="12" spans="1:11" x14ac:dyDescent="0.25">
      <c r="A12" t="s">
        <v>41</v>
      </c>
      <c r="B12" s="4">
        <v>41.656805026699999</v>
      </c>
      <c r="C12" s="3" t="s">
        <v>118</v>
      </c>
      <c r="D12" s="4">
        <v>76436.192676499995</v>
      </c>
      <c r="E12" s="3" t="s">
        <v>41</v>
      </c>
      <c r="F12" s="3" t="s">
        <v>119</v>
      </c>
      <c r="G12" s="4">
        <v>41.656805026699999</v>
      </c>
      <c r="H12" s="3" t="s">
        <v>41</v>
      </c>
      <c r="I12" s="4">
        <v>0</v>
      </c>
      <c r="J12" s="3">
        <v>11</v>
      </c>
      <c r="K12" s="3" t="s">
        <v>30</v>
      </c>
    </row>
    <row r="13" spans="1:11" x14ac:dyDescent="0.25">
      <c r="A13" t="s">
        <v>42</v>
      </c>
      <c r="B13" s="4">
        <v>18.352812943499998</v>
      </c>
      <c r="C13" s="3" t="s">
        <v>118</v>
      </c>
      <c r="D13" s="4">
        <v>33860.548296200002</v>
      </c>
      <c r="E13" s="3" t="s">
        <v>42</v>
      </c>
      <c r="F13" s="3" t="s">
        <v>120</v>
      </c>
      <c r="G13" s="4">
        <v>18.352812943499998</v>
      </c>
      <c r="H13" s="3" t="s">
        <v>42</v>
      </c>
      <c r="I13" s="4">
        <v>0.35574848711399998</v>
      </c>
      <c r="J13" s="3">
        <v>12</v>
      </c>
      <c r="K13" s="3" t="s">
        <v>32</v>
      </c>
    </row>
    <row r="14" spans="1:11" x14ac:dyDescent="0.25">
      <c r="A14" t="s">
        <v>43</v>
      </c>
      <c r="B14" s="4">
        <v>44.268066668400003</v>
      </c>
      <c r="C14" s="3" t="s">
        <v>106</v>
      </c>
      <c r="D14" s="4">
        <v>80867.1340929</v>
      </c>
      <c r="E14" s="3" t="s">
        <v>43</v>
      </c>
      <c r="F14" s="3" t="s">
        <v>121</v>
      </c>
      <c r="G14" s="4">
        <v>44.268066668400003</v>
      </c>
      <c r="H14" s="3" t="s">
        <v>43</v>
      </c>
      <c r="I14" s="4">
        <v>0</v>
      </c>
      <c r="J14" s="3">
        <v>13</v>
      </c>
      <c r="K14" s="3" t="s">
        <v>30</v>
      </c>
    </row>
    <row r="15" spans="1:11" x14ac:dyDescent="0.25">
      <c r="A15" t="s">
        <v>44</v>
      </c>
      <c r="B15" s="4">
        <v>4.2164203195200001</v>
      </c>
      <c r="C15" s="3" t="s">
        <v>118</v>
      </c>
      <c r="D15" s="4">
        <v>7777.7675096800003</v>
      </c>
      <c r="E15" s="3" t="s">
        <v>44</v>
      </c>
      <c r="F15" s="3" t="s">
        <v>122</v>
      </c>
      <c r="G15" s="4">
        <v>4.2164203195200001</v>
      </c>
      <c r="H15" s="3" t="s">
        <v>44</v>
      </c>
      <c r="I15" s="4">
        <v>0</v>
      </c>
      <c r="J15" s="3">
        <v>14</v>
      </c>
      <c r="K15" s="3" t="s">
        <v>30</v>
      </c>
    </row>
    <row r="16" spans="1:11" x14ac:dyDescent="0.25">
      <c r="A16" t="s">
        <v>45</v>
      </c>
      <c r="B16" s="4">
        <v>26.949391069800001</v>
      </c>
      <c r="C16" s="3" t="s">
        <v>118</v>
      </c>
      <c r="D16" s="4">
        <v>49328.263517300002</v>
      </c>
      <c r="E16" s="3" t="s">
        <v>45</v>
      </c>
      <c r="F16" s="3" t="s">
        <v>123</v>
      </c>
      <c r="G16" s="4">
        <v>26.949391069800001</v>
      </c>
      <c r="H16" s="3" t="s">
        <v>45</v>
      </c>
      <c r="I16" s="4">
        <v>0</v>
      </c>
      <c r="J16" s="3">
        <v>15</v>
      </c>
      <c r="K16" s="3" t="s">
        <v>30</v>
      </c>
    </row>
    <row r="17" spans="1:11" x14ac:dyDescent="0.25">
      <c r="A17" t="s">
        <v>46</v>
      </c>
      <c r="B17" s="4">
        <v>4.1639821022800003</v>
      </c>
      <c r="C17" s="3" t="s">
        <v>108</v>
      </c>
      <c r="D17" s="4">
        <v>7857.03655703</v>
      </c>
      <c r="E17" s="3" t="s">
        <v>46</v>
      </c>
      <c r="F17" s="3" t="s">
        <v>124</v>
      </c>
      <c r="G17" s="4">
        <v>4.1639821022800003</v>
      </c>
      <c r="H17" s="3" t="s">
        <v>46</v>
      </c>
      <c r="I17" s="4">
        <v>9.6454546191800002E-3</v>
      </c>
      <c r="J17" s="3">
        <v>16</v>
      </c>
      <c r="K17" s="3" t="s">
        <v>193</v>
      </c>
    </row>
    <row r="18" spans="1:11" x14ac:dyDescent="0.25">
      <c r="A18" t="s">
        <v>47</v>
      </c>
      <c r="B18" s="4">
        <v>42.291837041199997</v>
      </c>
      <c r="C18" s="3" t="s">
        <v>108</v>
      </c>
      <c r="D18" s="4">
        <v>80083.751293199995</v>
      </c>
      <c r="E18" s="3" t="s">
        <v>47</v>
      </c>
      <c r="F18" s="3" t="s">
        <v>125</v>
      </c>
      <c r="G18" s="4">
        <v>42.291837041199997</v>
      </c>
      <c r="H18" s="3" t="s">
        <v>47</v>
      </c>
      <c r="I18" s="4">
        <v>0</v>
      </c>
      <c r="J18" s="3">
        <v>17</v>
      </c>
      <c r="K18" s="3" t="s">
        <v>30</v>
      </c>
    </row>
    <row r="19" spans="1:11" x14ac:dyDescent="0.25">
      <c r="A19" t="s">
        <v>48</v>
      </c>
      <c r="B19" s="4">
        <v>182.860403916</v>
      </c>
      <c r="C19" s="3" t="s">
        <v>106</v>
      </c>
      <c r="D19" s="4">
        <v>334253.96735799999</v>
      </c>
      <c r="E19" s="3" t="s">
        <v>48</v>
      </c>
      <c r="F19" s="3" t="s">
        <v>151</v>
      </c>
      <c r="G19" s="4">
        <v>182.860403916</v>
      </c>
      <c r="H19" s="3" t="s">
        <v>48</v>
      </c>
      <c r="I19" s="4">
        <v>5.2300284547699997E-3</v>
      </c>
      <c r="J19" s="3">
        <v>18</v>
      </c>
      <c r="K19" s="3" t="s">
        <v>193</v>
      </c>
    </row>
    <row r="20" spans="1:11" x14ac:dyDescent="0.25">
      <c r="A20" t="s">
        <v>49</v>
      </c>
      <c r="B20" s="4">
        <v>20.2626475462</v>
      </c>
      <c r="C20" s="3" t="s">
        <v>118</v>
      </c>
      <c r="D20" s="4">
        <v>37573.763994000001</v>
      </c>
      <c r="E20" s="3" t="s">
        <v>49</v>
      </c>
      <c r="F20" s="3" t="s">
        <v>162</v>
      </c>
      <c r="G20" s="4">
        <v>20.2626475462</v>
      </c>
      <c r="H20" s="3" t="s">
        <v>49</v>
      </c>
      <c r="I20" s="4">
        <v>0.27659097269400001</v>
      </c>
      <c r="J20" s="3">
        <v>19</v>
      </c>
      <c r="K20" s="3" t="s">
        <v>32</v>
      </c>
    </row>
    <row r="21" spans="1:11" x14ac:dyDescent="0.25">
      <c r="A21" t="s">
        <v>50</v>
      </c>
      <c r="B21" s="4">
        <v>90.816483914100004</v>
      </c>
      <c r="C21" s="3" t="s">
        <v>108</v>
      </c>
      <c r="D21" s="4">
        <v>170724.065325</v>
      </c>
      <c r="E21" s="3" t="s">
        <v>50</v>
      </c>
      <c r="F21" s="3" t="s">
        <v>126</v>
      </c>
      <c r="G21" s="4">
        <v>90.816483914100004</v>
      </c>
      <c r="H21" s="3" t="s">
        <v>50</v>
      </c>
      <c r="I21" s="4">
        <v>0.15105499928499999</v>
      </c>
      <c r="J21" s="3">
        <v>20</v>
      </c>
      <c r="K21" s="3" t="s">
        <v>32</v>
      </c>
    </row>
    <row r="22" spans="1:11" x14ac:dyDescent="0.25">
      <c r="A22" t="s">
        <v>51</v>
      </c>
      <c r="B22" s="4">
        <v>35.996736132800002</v>
      </c>
      <c r="C22" s="3" t="s">
        <v>108</v>
      </c>
      <c r="D22" s="4">
        <v>67962.495198400007</v>
      </c>
      <c r="E22" s="3" t="s">
        <v>51</v>
      </c>
      <c r="F22" s="3" t="s">
        <v>127</v>
      </c>
      <c r="G22" s="4">
        <v>35.996736132800002</v>
      </c>
      <c r="H22" s="3" t="s">
        <v>51</v>
      </c>
      <c r="I22" s="4">
        <v>1.57561117304</v>
      </c>
      <c r="J22" s="3">
        <v>21</v>
      </c>
      <c r="K22" s="3" t="s">
        <v>32</v>
      </c>
    </row>
    <row r="23" spans="1:11" x14ac:dyDescent="0.25">
      <c r="A23" t="s">
        <v>52</v>
      </c>
      <c r="B23" s="4">
        <v>56.324086317999999</v>
      </c>
      <c r="C23" s="3" t="s">
        <v>106</v>
      </c>
      <c r="D23" s="4">
        <v>102621.77052200001</v>
      </c>
      <c r="E23" s="3" t="s">
        <v>52</v>
      </c>
      <c r="F23" s="3" t="s">
        <v>160</v>
      </c>
      <c r="G23" s="4">
        <v>56.324086317999999</v>
      </c>
      <c r="H23" s="3" t="s">
        <v>52</v>
      </c>
      <c r="I23" s="4">
        <v>0.51949391981100002</v>
      </c>
      <c r="J23" s="3">
        <v>22</v>
      </c>
      <c r="K23" s="3" t="s">
        <v>32</v>
      </c>
    </row>
    <row r="24" spans="1:11" x14ac:dyDescent="0.25">
      <c r="A24" t="s">
        <v>53</v>
      </c>
      <c r="B24" s="4">
        <v>43.110311660000001</v>
      </c>
      <c r="C24" s="3" t="s">
        <v>106</v>
      </c>
      <c r="D24" s="4">
        <v>78415.385849099999</v>
      </c>
      <c r="E24" s="3" t="s">
        <v>53</v>
      </c>
      <c r="F24" s="3" t="s">
        <v>161</v>
      </c>
      <c r="G24" s="4">
        <v>43.110311660000001</v>
      </c>
      <c r="H24" s="3" t="s">
        <v>53</v>
      </c>
      <c r="I24" s="4">
        <v>0.66171810765000005</v>
      </c>
      <c r="J24" s="3">
        <v>23</v>
      </c>
      <c r="K24" s="3" t="s">
        <v>32</v>
      </c>
    </row>
    <row r="25" spans="1:11" x14ac:dyDescent="0.25">
      <c r="A25" t="s">
        <v>54</v>
      </c>
      <c r="B25" s="4">
        <v>41.542048884700002</v>
      </c>
      <c r="C25" s="3" t="s">
        <v>106</v>
      </c>
      <c r="D25" s="4">
        <v>76016.908600199997</v>
      </c>
      <c r="E25" s="3" t="s">
        <v>54</v>
      </c>
      <c r="F25" s="3" t="s">
        <v>128</v>
      </c>
      <c r="G25" s="4">
        <v>41.542048884700002</v>
      </c>
      <c r="H25" s="3" t="s">
        <v>54</v>
      </c>
      <c r="I25" s="4">
        <v>0</v>
      </c>
      <c r="J25" s="3">
        <v>24</v>
      </c>
      <c r="K25" s="3" t="s">
        <v>30</v>
      </c>
    </row>
    <row r="26" spans="1:11" x14ac:dyDescent="0.25">
      <c r="A26" t="s">
        <v>55</v>
      </c>
      <c r="B26" s="4">
        <v>76.816569730099999</v>
      </c>
      <c r="C26" s="3" t="s">
        <v>118</v>
      </c>
      <c r="D26" s="4">
        <v>140920.31649299999</v>
      </c>
      <c r="E26" s="3" t="s">
        <v>55</v>
      </c>
      <c r="F26" s="3" t="s">
        <v>129</v>
      </c>
      <c r="G26" s="4">
        <v>76.816569730099999</v>
      </c>
      <c r="H26" s="3" t="s">
        <v>55</v>
      </c>
      <c r="I26" s="4">
        <v>0.15716004837399999</v>
      </c>
      <c r="J26" s="3">
        <v>25</v>
      </c>
      <c r="K26" s="3" t="s">
        <v>32</v>
      </c>
    </row>
    <row r="27" spans="1:11" x14ac:dyDescent="0.25">
      <c r="A27" t="s">
        <v>56</v>
      </c>
      <c r="B27" s="4">
        <v>75.904228896299998</v>
      </c>
      <c r="C27" s="3" t="s">
        <v>106</v>
      </c>
      <c r="D27" s="4">
        <v>139422.57540500001</v>
      </c>
      <c r="E27" s="3" t="s">
        <v>56</v>
      </c>
      <c r="F27" s="3" t="s">
        <v>130</v>
      </c>
      <c r="G27" s="4">
        <v>75.904228896299998</v>
      </c>
      <c r="H27" s="3" t="s">
        <v>56</v>
      </c>
      <c r="I27" s="4">
        <v>0</v>
      </c>
      <c r="J27" s="3">
        <v>26</v>
      </c>
      <c r="K27" s="3" t="s">
        <v>30</v>
      </c>
    </row>
    <row r="28" spans="1:11" x14ac:dyDescent="0.25">
      <c r="A28" t="s">
        <v>57</v>
      </c>
      <c r="B28" s="4">
        <v>24.2876317204</v>
      </c>
      <c r="C28" s="3" t="s">
        <v>106</v>
      </c>
      <c r="D28" s="4">
        <v>43589.304746399997</v>
      </c>
      <c r="E28" s="3" t="s">
        <v>57</v>
      </c>
      <c r="F28" s="3" t="s">
        <v>131</v>
      </c>
      <c r="G28" s="4">
        <v>24.2876317204</v>
      </c>
      <c r="H28" s="3" t="s">
        <v>57</v>
      </c>
      <c r="I28" s="4">
        <v>0.29248868741700002</v>
      </c>
      <c r="J28" s="3">
        <v>27</v>
      </c>
      <c r="K28" s="3" t="s">
        <v>32</v>
      </c>
    </row>
    <row r="29" spans="1:11" x14ac:dyDescent="0.25">
      <c r="A29" t="s">
        <v>58</v>
      </c>
      <c r="B29" s="4">
        <v>16.2004129271</v>
      </c>
      <c r="C29" s="3" t="s">
        <v>106</v>
      </c>
      <c r="D29" s="4">
        <v>29387.779644800001</v>
      </c>
      <c r="E29" s="3" t="s">
        <v>58</v>
      </c>
      <c r="F29" s="3" t="s">
        <v>132</v>
      </c>
      <c r="G29" s="4">
        <v>16.2004129271</v>
      </c>
      <c r="H29" s="3" t="s">
        <v>58</v>
      </c>
      <c r="I29" s="4">
        <v>0</v>
      </c>
      <c r="J29" s="3">
        <v>28</v>
      </c>
      <c r="K29" s="3" t="s">
        <v>30</v>
      </c>
    </row>
    <row r="30" spans="1:11" x14ac:dyDescent="0.25">
      <c r="A30" t="s">
        <v>60</v>
      </c>
      <c r="B30" s="4">
        <v>84.428982097299993</v>
      </c>
      <c r="C30" s="3" t="s">
        <v>118</v>
      </c>
      <c r="D30" s="4">
        <v>156632.12961199999</v>
      </c>
      <c r="E30" s="3" t="s">
        <v>60</v>
      </c>
      <c r="F30" s="3" t="s">
        <v>133</v>
      </c>
      <c r="G30" s="4">
        <v>84.428982097299993</v>
      </c>
      <c r="H30" s="3" t="s">
        <v>60</v>
      </c>
      <c r="I30" s="4">
        <v>2.36489144999E-2</v>
      </c>
      <c r="J30" s="3">
        <v>30</v>
      </c>
      <c r="K30" s="3" t="s">
        <v>193</v>
      </c>
    </row>
    <row r="31" spans="1:11" x14ac:dyDescent="0.25">
      <c r="A31" t="s">
        <v>59</v>
      </c>
      <c r="B31" s="4">
        <v>16.3123234551</v>
      </c>
      <c r="C31" s="3" t="s">
        <v>106</v>
      </c>
      <c r="D31" s="4">
        <v>30014.715210800001</v>
      </c>
      <c r="E31" s="3" t="s">
        <v>59</v>
      </c>
      <c r="F31" s="3" t="s">
        <v>159</v>
      </c>
      <c r="G31" s="4">
        <v>16.3123234551</v>
      </c>
      <c r="H31" s="3" t="s">
        <v>59</v>
      </c>
      <c r="I31" s="4">
        <v>2.6856390821400001E-2</v>
      </c>
      <c r="J31" s="3">
        <v>29</v>
      </c>
      <c r="K31" s="3" t="s">
        <v>193</v>
      </c>
    </row>
    <row r="32" spans="1:11" x14ac:dyDescent="0.25">
      <c r="A32" t="s">
        <v>61</v>
      </c>
      <c r="B32" s="4">
        <v>23.3867259365</v>
      </c>
      <c r="C32" s="3" t="s">
        <v>106</v>
      </c>
      <c r="D32" s="4">
        <v>42054.563727300003</v>
      </c>
      <c r="E32" s="3" t="s">
        <v>61</v>
      </c>
      <c r="F32" s="3" t="s">
        <v>134</v>
      </c>
      <c r="G32" s="4">
        <v>23.3867259365</v>
      </c>
      <c r="H32" s="3" t="s">
        <v>61</v>
      </c>
      <c r="I32" s="4">
        <v>1.1707308172199999</v>
      </c>
      <c r="J32" s="3">
        <v>31</v>
      </c>
      <c r="K32" s="3" t="s">
        <v>32</v>
      </c>
    </row>
    <row r="33" spans="1:11" x14ac:dyDescent="0.25">
      <c r="A33" t="s">
        <v>62</v>
      </c>
      <c r="B33" s="4">
        <v>21.494777728999999</v>
      </c>
      <c r="C33" s="3" t="s">
        <v>106</v>
      </c>
      <c r="D33" s="4">
        <v>39104.727833199999</v>
      </c>
      <c r="E33" s="3" t="s">
        <v>62</v>
      </c>
      <c r="F33" s="3" t="s">
        <v>135</v>
      </c>
      <c r="G33" s="4">
        <v>21.494777728999999</v>
      </c>
      <c r="H33" s="3" t="s">
        <v>62</v>
      </c>
      <c r="I33" s="4">
        <v>3.8833933964899999E-3</v>
      </c>
      <c r="J33" s="3">
        <v>32</v>
      </c>
      <c r="K33" s="3" t="s">
        <v>193</v>
      </c>
    </row>
    <row r="34" spans="1:11" x14ac:dyDescent="0.25">
      <c r="A34" t="s">
        <v>63</v>
      </c>
      <c r="B34" s="4">
        <v>56.814608672299997</v>
      </c>
      <c r="C34" s="3" t="s">
        <v>106</v>
      </c>
      <c r="D34" s="4">
        <v>102844.81267499999</v>
      </c>
      <c r="E34" s="3" t="s">
        <v>63</v>
      </c>
      <c r="F34" s="3" t="s">
        <v>136</v>
      </c>
      <c r="G34" s="4">
        <v>56.814608672299997</v>
      </c>
      <c r="H34" s="3" t="s">
        <v>63</v>
      </c>
      <c r="I34" s="4">
        <v>0.39766389414800002</v>
      </c>
      <c r="J34" s="3">
        <v>33</v>
      </c>
      <c r="K34" s="3" t="s">
        <v>32</v>
      </c>
    </row>
    <row r="35" spans="1:11" x14ac:dyDescent="0.25">
      <c r="A35" t="s">
        <v>64</v>
      </c>
      <c r="B35" s="4">
        <v>95.026898620899999</v>
      </c>
      <c r="C35" s="3" t="s">
        <v>108</v>
      </c>
      <c r="D35" s="4">
        <v>178148.61251499999</v>
      </c>
      <c r="E35" s="3" t="s">
        <v>64</v>
      </c>
      <c r="F35" s="3" t="s">
        <v>148</v>
      </c>
      <c r="G35" s="4">
        <v>95.026898620899999</v>
      </c>
      <c r="H35" s="3" t="s">
        <v>64</v>
      </c>
      <c r="I35" s="4">
        <v>0</v>
      </c>
      <c r="J35" s="3">
        <v>34</v>
      </c>
      <c r="K35" s="3" t="s">
        <v>30</v>
      </c>
    </row>
    <row r="36" spans="1:11" x14ac:dyDescent="0.25">
      <c r="A36" t="s">
        <v>65</v>
      </c>
      <c r="B36" s="4">
        <v>44.3952689889</v>
      </c>
      <c r="C36" s="3" t="s">
        <v>106</v>
      </c>
      <c r="D36" s="4">
        <v>80517.537703099995</v>
      </c>
      <c r="E36" s="3" t="s">
        <v>65</v>
      </c>
      <c r="F36" s="3" t="s">
        <v>156</v>
      </c>
      <c r="G36" s="4">
        <v>44.3952689889</v>
      </c>
      <c r="H36" s="3" t="s">
        <v>65</v>
      </c>
      <c r="I36" s="4">
        <v>0</v>
      </c>
      <c r="J36" s="3">
        <v>35</v>
      </c>
      <c r="K36" s="3" t="s">
        <v>30</v>
      </c>
    </row>
    <row r="37" spans="1:11" x14ac:dyDescent="0.25">
      <c r="A37" t="s">
        <v>66</v>
      </c>
      <c r="B37" s="4">
        <v>42.901241016900002</v>
      </c>
      <c r="C37" s="3" t="s">
        <v>106</v>
      </c>
      <c r="D37" s="4">
        <v>78039.372028199999</v>
      </c>
      <c r="E37" s="3" t="s">
        <v>66</v>
      </c>
      <c r="F37" s="3" t="s">
        <v>157</v>
      </c>
      <c r="G37" s="4">
        <v>42.901241016900002</v>
      </c>
      <c r="H37" s="3" t="s">
        <v>66</v>
      </c>
      <c r="I37" s="4">
        <v>5.1802794197099997E-3</v>
      </c>
      <c r="J37" s="3">
        <v>36</v>
      </c>
      <c r="K37" s="3" t="s">
        <v>193</v>
      </c>
    </row>
    <row r="38" spans="1:11" x14ac:dyDescent="0.25">
      <c r="A38" t="s">
        <v>67</v>
      </c>
      <c r="B38" s="4">
        <v>20.8341330292</v>
      </c>
      <c r="C38" s="3" t="s">
        <v>106</v>
      </c>
      <c r="D38" s="4">
        <v>38064.078108499998</v>
      </c>
      <c r="E38" s="3" t="s">
        <v>67</v>
      </c>
      <c r="F38" s="3" t="s">
        <v>158</v>
      </c>
      <c r="G38" s="4">
        <v>20.8341330292</v>
      </c>
      <c r="H38" s="3" t="s">
        <v>67</v>
      </c>
      <c r="I38" s="4">
        <v>1.37810413572E-2</v>
      </c>
      <c r="J38" s="3">
        <v>37</v>
      </c>
      <c r="K38" s="3" t="s">
        <v>193</v>
      </c>
    </row>
    <row r="39" spans="1:11" x14ac:dyDescent="0.25">
      <c r="A39" t="s">
        <v>68</v>
      </c>
      <c r="B39" s="4">
        <v>12.0349357255</v>
      </c>
      <c r="C39" s="3" t="s">
        <v>118</v>
      </c>
      <c r="D39" s="4">
        <v>22278.401399099999</v>
      </c>
      <c r="E39" s="3" t="s">
        <v>68</v>
      </c>
      <c r="F39" s="3" t="s">
        <v>137</v>
      </c>
      <c r="G39" s="4">
        <v>12.0349357255</v>
      </c>
      <c r="H39" s="3" t="s">
        <v>68</v>
      </c>
      <c r="I39" s="4">
        <v>0.116346412568</v>
      </c>
      <c r="J39" s="3">
        <v>38</v>
      </c>
      <c r="K39" s="3" t="s">
        <v>193</v>
      </c>
    </row>
    <row r="40" spans="1:11" x14ac:dyDescent="0.25">
      <c r="A40" s="2" t="s">
        <v>69</v>
      </c>
      <c r="B40" s="4">
        <v>16.0307517201</v>
      </c>
      <c r="C40" s="3" t="s">
        <v>106</v>
      </c>
      <c r="D40" s="4">
        <v>28805.355909400001</v>
      </c>
      <c r="E40" s="3" t="s">
        <v>69</v>
      </c>
      <c r="F40" s="3" t="s">
        <v>107</v>
      </c>
      <c r="G40" s="4">
        <v>16.0307517201</v>
      </c>
      <c r="H40" s="3" t="s">
        <v>69</v>
      </c>
      <c r="I40" s="4">
        <v>0</v>
      </c>
      <c r="J40" s="3">
        <v>39</v>
      </c>
      <c r="K40" s="3" t="s">
        <v>30</v>
      </c>
    </row>
    <row r="41" spans="1:11" x14ac:dyDescent="0.25">
      <c r="A41" t="s">
        <v>70</v>
      </c>
      <c r="B41" s="4">
        <v>6.5691873898299997</v>
      </c>
      <c r="C41" s="3" t="s">
        <v>118</v>
      </c>
      <c r="D41" s="4">
        <v>12073.4798147</v>
      </c>
      <c r="E41" s="3" t="s">
        <v>70</v>
      </c>
      <c r="F41" s="3" t="s">
        <v>164</v>
      </c>
      <c r="G41" s="4">
        <v>6.5691873898299997</v>
      </c>
      <c r="H41" s="3" t="s">
        <v>70</v>
      </c>
      <c r="I41" s="4">
        <v>13.1219408353</v>
      </c>
      <c r="J41" s="3">
        <v>40</v>
      </c>
      <c r="K41" s="3" t="s">
        <v>32</v>
      </c>
    </row>
    <row r="42" spans="1:11" x14ac:dyDescent="0.25">
      <c r="A42" t="s">
        <v>71</v>
      </c>
      <c r="B42" s="4">
        <v>21.489188390100001</v>
      </c>
      <c r="C42" s="3" t="s">
        <v>118</v>
      </c>
      <c r="D42" s="4">
        <v>39526.519078400001</v>
      </c>
      <c r="E42" s="3" t="s">
        <v>71</v>
      </c>
      <c r="F42" s="3" t="s">
        <v>163</v>
      </c>
      <c r="G42" s="4">
        <v>21.489188390100001</v>
      </c>
      <c r="H42" s="3" t="s">
        <v>71</v>
      </c>
      <c r="I42" s="4">
        <v>1.8995061892800001E-2</v>
      </c>
      <c r="J42" s="3">
        <v>41</v>
      </c>
      <c r="K42" s="3" t="s">
        <v>193</v>
      </c>
    </row>
    <row r="43" spans="1:11" x14ac:dyDescent="0.25">
      <c r="A43" t="s">
        <v>72</v>
      </c>
      <c r="B43" s="4">
        <v>97.960131788799998</v>
      </c>
      <c r="C43" s="3" t="s">
        <v>118</v>
      </c>
      <c r="D43" s="4">
        <v>180119.694013</v>
      </c>
      <c r="E43" s="3" t="s">
        <v>72</v>
      </c>
      <c r="F43" s="3" t="s">
        <v>138</v>
      </c>
      <c r="G43" s="4">
        <v>97.960131788799998</v>
      </c>
      <c r="H43" s="3" t="s">
        <v>72</v>
      </c>
      <c r="I43" s="4">
        <v>9.1172087306800001E-2</v>
      </c>
      <c r="J43" s="3">
        <v>42</v>
      </c>
      <c r="K43" s="3" t="s">
        <v>193</v>
      </c>
    </row>
    <row r="44" spans="1:11" x14ac:dyDescent="0.25">
      <c r="A44" t="s">
        <v>73</v>
      </c>
      <c r="B44" s="4">
        <v>107.274382186</v>
      </c>
      <c r="C44" s="3" t="s">
        <v>106</v>
      </c>
      <c r="D44" s="4">
        <v>195550.063088</v>
      </c>
      <c r="E44" s="3" t="s">
        <v>73</v>
      </c>
      <c r="F44" s="3" t="s">
        <v>139</v>
      </c>
      <c r="G44" s="4">
        <v>107.274382186</v>
      </c>
      <c r="H44" s="3" t="s">
        <v>73</v>
      </c>
      <c r="I44" s="4">
        <v>5.5438566841999999E-2</v>
      </c>
      <c r="J44" s="3">
        <v>43</v>
      </c>
      <c r="K44" s="3" t="s">
        <v>193</v>
      </c>
    </row>
    <row r="45" spans="1:11" x14ac:dyDescent="0.25">
      <c r="A45" t="s">
        <v>74</v>
      </c>
      <c r="B45" s="4">
        <v>114.62000684900001</v>
      </c>
      <c r="C45" s="3" t="s">
        <v>108</v>
      </c>
      <c r="D45" s="4">
        <v>217036.701443</v>
      </c>
      <c r="E45" s="3" t="s">
        <v>74</v>
      </c>
      <c r="F45" s="3" t="s">
        <v>140</v>
      </c>
      <c r="G45" s="4">
        <v>114.62000684900001</v>
      </c>
      <c r="H45" s="3" t="s">
        <v>74</v>
      </c>
      <c r="I45" s="4">
        <v>1.3141926206500001</v>
      </c>
      <c r="J45" s="3">
        <v>44</v>
      </c>
      <c r="K45" s="3" t="s">
        <v>32</v>
      </c>
    </row>
    <row r="46" spans="1:11" x14ac:dyDescent="0.25">
      <c r="A46" t="s">
        <v>75</v>
      </c>
      <c r="B46" s="4">
        <v>34.463288233299998</v>
      </c>
      <c r="C46" s="3" t="s">
        <v>108</v>
      </c>
      <c r="D46" s="4">
        <v>64261.238702299997</v>
      </c>
      <c r="E46" s="3" t="s">
        <v>142</v>
      </c>
      <c r="F46" s="3" t="s">
        <v>143</v>
      </c>
      <c r="G46" s="4">
        <v>34.463288233299998</v>
      </c>
      <c r="H46" s="3" t="s">
        <v>142</v>
      </c>
      <c r="I46" s="4">
        <v>1.45408803183</v>
      </c>
      <c r="J46" s="3">
        <v>45</v>
      </c>
      <c r="K46" s="3" t="s">
        <v>32</v>
      </c>
    </row>
    <row r="47" spans="1:11" x14ac:dyDescent="0.25">
      <c r="A47" t="s">
        <v>76</v>
      </c>
      <c r="B47" s="4">
        <v>168.085317269</v>
      </c>
      <c r="C47" s="3" t="s">
        <v>108</v>
      </c>
      <c r="D47" s="4">
        <v>314707.428732</v>
      </c>
      <c r="E47" s="3" t="s">
        <v>76</v>
      </c>
      <c r="F47" s="3" t="s">
        <v>141</v>
      </c>
      <c r="G47" s="4">
        <v>168.085317269</v>
      </c>
      <c r="H47" s="3" t="s">
        <v>76</v>
      </c>
      <c r="I47" s="4">
        <v>0.67535047884900001</v>
      </c>
      <c r="J47" s="3">
        <v>46</v>
      </c>
      <c r="K47" s="3" t="s">
        <v>32</v>
      </c>
    </row>
    <row r="48" spans="1:11" x14ac:dyDescent="0.25">
      <c r="A48" t="s">
        <v>79</v>
      </c>
      <c r="B48" s="4">
        <v>190.60522290099999</v>
      </c>
      <c r="C48" s="3" t="s">
        <v>118</v>
      </c>
      <c r="D48" s="4">
        <v>353352.11537499999</v>
      </c>
      <c r="E48" s="3" t="s">
        <v>79</v>
      </c>
      <c r="F48" s="3" t="s">
        <v>150</v>
      </c>
      <c r="G48" s="4">
        <v>190.60522290099999</v>
      </c>
      <c r="H48" s="3" t="s">
        <v>79</v>
      </c>
      <c r="I48" s="4">
        <v>0.121248248425</v>
      </c>
      <c r="J48" s="3">
        <v>49</v>
      </c>
      <c r="K48" s="3" t="s">
        <v>193</v>
      </c>
    </row>
    <row r="49" spans="1:11" x14ac:dyDescent="0.25">
      <c r="A49" t="s">
        <v>78</v>
      </c>
      <c r="B49" s="4">
        <v>32.809901076199999</v>
      </c>
      <c r="C49" s="3" t="s">
        <v>106</v>
      </c>
      <c r="D49" s="4">
        <v>60021.123467099998</v>
      </c>
      <c r="E49" s="3" t="s">
        <v>78</v>
      </c>
      <c r="F49" s="3" t="s">
        <v>154</v>
      </c>
      <c r="G49" s="4">
        <v>32.809901076199999</v>
      </c>
      <c r="H49" s="3" t="s">
        <v>78</v>
      </c>
      <c r="I49" s="4">
        <v>4.4596359426E-4</v>
      </c>
      <c r="J49" s="3">
        <v>48</v>
      </c>
      <c r="K49" s="3" t="s">
        <v>193</v>
      </c>
    </row>
    <row r="50" spans="1:11" x14ac:dyDescent="0.25">
      <c r="A50" t="s">
        <v>77</v>
      </c>
      <c r="B50" s="4">
        <v>108.143126791</v>
      </c>
      <c r="C50" s="3" t="s">
        <v>106</v>
      </c>
      <c r="D50" s="4">
        <v>195365.33637400001</v>
      </c>
      <c r="E50" s="3" t="s">
        <v>77</v>
      </c>
      <c r="F50" s="3" t="s">
        <v>155</v>
      </c>
      <c r="G50" s="4">
        <v>108.143126791</v>
      </c>
      <c r="H50" s="3" t="s">
        <v>77</v>
      </c>
      <c r="I50" s="4">
        <v>0.58414348045499997</v>
      </c>
      <c r="J50" s="3">
        <v>47</v>
      </c>
      <c r="K50" s="3" t="s">
        <v>32</v>
      </c>
    </row>
    <row r="51" spans="1:11" x14ac:dyDescent="0.25">
      <c r="A51" t="s">
        <v>80</v>
      </c>
      <c r="B51" s="4">
        <v>206.581413717</v>
      </c>
      <c r="C51" s="3" t="s">
        <v>118</v>
      </c>
      <c r="D51" s="4">
        <v>381822.35238599998</v>
      </c>
      <c r="E51" s="3" t="s">
        <v>80</v>
      </c>
      <c r="F51" s="3" t="s">
        <v>147</v>
      </c>
      <c r="G51" s="4">
        <v>206.581413717</v>
      </c>
      <c r="H51" s="3" t="s">
        <v>80</v>
      </c>
      <c r="I51" s="4">
        <v>0.81953834952799998</v>
      </c>
      <c r="J51" s="3">
        <v>50</v>
      </c>
      <c r="K51" s="3" t="s">
        <v>32</v>
      </c>
    </row>
    <row r="52" spans="1:11" x14ac:dyDescent="0.25">
      <c r="A52" t="s">
        <v>81</v>
      </c>
      <c r="B52" s="4">
        <v>195.19672245000001</v>
      </c>
      <c r="C52" s="3" t="s">
        <v>108</v>
      </c>
      <c r="D52" s="4">
        <v>364169.51216599997</v>
      </c>
      <c r="E52" s="3" t="s">
        <v>81</v>
      </c>
      <c r="F52" s="3" t="s">
        <v>149</v>
      </c>
      <c r="G52" s="4">
        <v>195.19672245000001</v>
      </c>
      <c r="H52" s="3" t="s">
        <v>81</v>
      </c>
      <c r="I52" s="4">
        <v>1.4285477017099999</v>
      </c>
      <c r="J52" s="3">
        <v>51</v>
      </c>
      <c r="K52" s="3" t="s">
        <v>32</v>
      </c>
    </row>
    <row r="53" spans="1:11" x14ac:dyDescent="0.25">
      <c r="A53" t="s">
        <v>82</v>
      </c>
      <c r="B53" s="4">
        <v>122.66597226099999</v>
      </c>
      <c r="C53" s="3" t="s">
        <v>118</v>
      </c>
      <c r="D53" s="4">
        <v>229923.76942200001</v>
      </c>
      <c r="E53" s="3" t="s">
        <v>82</v>
      </c>
      <c r="F53" s="3" t="s">
        <v>144</v>
      </c>
      <c r="G53" s="4">
        <v>122.66597226099999</v>
      </c>
      <c r="H53" s="3" t="s">
        <v>82</v>
      </c>
      <c r="I53" s="4">
        <v>0</v>
      </c>
      <c r="J53" s="3">
        <v>52</v>
      </c>
      <c r="K53" s="3" t="s">
        <v>30</v>
      </c>
    </row>
    <row r="54" spans="1:11" x14ac:dyDescent="0.25">
      <c r="A54" t="s">
        <v>83</v>
      </c>
      <c r="B54" s="4">
        <v>123.780828525</v>
      </c>
      <c r="C54" s="3" t="s">
        <v>118</v>
      </c>
      <c r="D54" s="4">
        <v>231437.473964</v>
      </c>
      <c r="E54" s="3" t="s">
        <v>83</v>
      </c>
      <c r="F54" s="3" t="s">
        <v>152</v>
      </c>
      <c r="G54" s="4">
        <v>123.780828525</v>
      </c>
      <c r="H54" s="3" t="s">
        <v>83</v>
      </c>
      <c r="I54" s="4">
        <v>0.136942332172</v>
      </c>
      <c r="J54" s="3">
        <v>53</v>
      </c>
      <c r="K54" s="3" t="s">
        <v>193</v>
      </c>
    </row>
    <row r="55" spans="1:11" x14ac:dyDescent="0.25">
      <c r="A55" t="s">
        <v>84</v>
      </c>
      <c r="B55" s="4">
        <v>96.577199252</v>
      </c>
      <c r="C55" s="3" t="s">
        <v>118</v>
      </c>
      <c r="D55" s="4">
        <v>177795.020253</v>
      </c>
      <c r="E55" s="3" t="s">
        <v>84</v>
      </c>
      <c r="F55" s="3" t="s">
        <v>153</v>
      </c>
      <c r="G55" s="4">
        <v>96.577199252</v>
      </c>
      <c r="H55" s="3" t="s">
        <v>84</v>
      </c>
      <c r="I55" s="4">
        <v>0.682485728731</v>
      </c>
      <c r="J55" s="3">
        <v>54</v>
      </c>
      <c r="K55" s="3" t="s">
        <v>32</v>
      </c>
    </row>
    <row r="56" spans="1:11" x14ac:dyDescent="0.25">
      <c r="A56" t="s">
        <v>85</v>
      </c>
      <c r="B56" s="4">
        <v>169.551014127</v>
      </c>
      <c r="C56" s="3" t="s">
        <v>108</v>
      </c>
      <c r="D56" s="4">
        <v>319297.57058399997</v>
      </c>
      <c r="E56" s="3" t="s">
        <v>85</v>
      </c>
      <c r="F56" s="3" t="s">
        <v>145</v>
      </c>
      <c r="G56" s="4">
        <v>169.551014127</v>
      </c>
      <c r="H56" s="3" t="s">
        <v>85</v>
      </c>
      <c r="I56" s="4">
        <v>4.0116033248900002E-3</v>
      </c>
      <c r="J56" s="3">
        <v>55</v>
      </c>
      <c r="K56" s="3" t="s">
        <v>193</v>
      </c>
    </row>
    <row r="57" spans="1:11" x14ac:dyDescent="0.25">
      <c r="A57" t="s">
        <v>86</v>
      </c>
      <c r="B57" s="4">
        <v>97.141262682700003</v>
      </c>
      <c r="C57" s="3" t="s">
        <v>108</v>
      </c>
      <c r="D57" s="4">
        <v>182682.60690799999</v>
      </c>
      <c r="E57" s="3" t="s">
        <v>86</v>
      </c>
      <c r="F57" s="3" t="s">
        <v>146</v>
      </c>
      <c r="G57" s="4">
        <v>97.141262682700003</v>
      </c>
      <c r="H57" s="3" t="s">
        <v>86</v>
      </c>
      <c r="I57" s="4">
        <v>3.0464513550899999E-3</v>
      </c>
      <c r="J57" s="3">
        <v>56</v>
      </c>
      <c r="K57" s="3" t="s">
        <v>193</v>
      </c>
    </row>
  </sheetData>
  <sortState xmlns:xlrd2="http://schemas.microsoft.com/office/spreadsheetml/2017/richdata2" ref="A2:K57">
    <sortCondition ref="A1:A57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ED91C-8510-4848-9B57-C538BA984CDA}">
  <dimension ref="A1:AE58"/>
  <sheetViews>
    <sheetView workbookViewId="0">
      <pane xSplit="1" ySplit="2" topLeftCell="B10" activePane="bottomRight" state="frozen"/>
      <selection pane="topRight" activeCell="B1" sqref="B1"/>
      <selection pane="bottomLeft" activeCell="A3" sqref="A3"/>
      <selection pane="bottomRight" activeCell="L30" sqref="L30"/>
    </sheetView>
  </sheetViews>
  <sheetFormatPr defaultRowHeight="15" x14ac:dyDescent="0.25"/>
  <cols>
    <col min="1" max="3" width="15" customWidth="1"/>
    <col min="4" max="4" width="17.28515625" customWidth="1"/>
    <col min="5" max="5" width="21.140625" customWidth="1"/>
    <col min="6" max="6" width="18.28515625" hidden="1" customWidth="1"/>
    <col min="7" max="7" width="15" customWidth="1"/>
    <col min="8" max="8" width="21.140625" customWidth="1"/>
    <col min="9" max="9" width="23.28515625" customWidth="1"/>
    <col min="10" max="10" width="24.140625" customWidth="1"/>
    <col min="11" max="11" width="24.140625" hidden="1" customWidth="1"/>
    <col min="12" max="12" width="24.85546875" customWidth="1"/>
    <col min="13" max="13" width="20.5703125" customWidth="1"/>
    <col min="14" max="14" width="24.7109375" customWidth="1"/>
    <col min="15" max="16" width="15" customWidth="1"/>
    <col min="17" max="17" width="15" hidden="1" customWidth="1"/>
    <col min="18" max="18" width="35.140625" customWidth="1"/>
    <col min="19" max="19" width="43" customWidth="1"/>
    <col min="20" max="20" width="21.7109375" customWidth="1"/>
    <col min="21" max="21" width="15" customWidth="1"/>
    <col min="22" max="22" width="19.5703125" customWidth="1"/>
    <col min="23" max="23" width="20" bestFit="1" customWidth="1"/>
    <col min="24" max="24" width="20" customWidth="1"/>
    <col min="25" max="25" width="19.85546875" customWidth="1"/>
    <col min="26" max="26" width="15" customWidth="1"/>
    <col min="27" max="27" width="72.42578125" hidden="1" customWidth="1"/>
    <col min="28" max="28" width="43.7109375" bestFit="1" customWidth="1"/>
    <col min="29" max="29" width="33.5703125" bestFit="1" customWidth="1"/>
    <col min="30" max="30" width="30.85546875" bestFit="1" customWidth="1"/>
    <col min="31" max="31" width="50.85546875" customWidth="1"/>
  </cols>
  <sheetData>
    <row r="1" spans="1:31" x14ac:dyDescent="0.25">
      <c r="C1" s="108" t="s">
        <v>0</v>
      </c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 t="s">
        <v>89</v>
      </c>
      <c r="Q1" s="108"/>
      <c r="R1" s="108"/>
      <c r="S1" s="108"/>
      <c r="T1" s="108" t="s">
        <v>2</v>
      </c>
      <c r="U1" s="108"/>
      <c r="V1" s="108"/>
      <c r="W1" s="108"/>
      <c r="X1" s="108"/>
      <c r="Y1" s="108"/>
      <c r="Z1" s="108"/>
      <c r="AA1" t="s">
        <v>92</v>
      </c>
      <c r="AB1" s="108" t="s">
        <v>3</v>
      </c>
      <c r="AC1" s="108"/>
      <c r="AD1" s="108"/>
      <c r="AE1" s="108"/>
    </row>
    <row r="2" spans="1:31" x14ac:dyDescent="0.25">
      <c r="A2" t="s">
        <v>4</v>
      </c>
      <c r="B2" t="s">
        <v>95</v>
      </c>
      <c r="C2" t="s">
        <v>5</v>
      </c>
      <c r="D2" t="s">
        <v>6</v>
      </c>
      <c r="E2" t="s">
        <v>165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88</v>
      </c>
      <c r="L2" t="s">
        <v>12</v>
      </c>
      <c r="M2" t="s">
        <v>13</v>
      </c>
      <c r="N2" t="s">
        <v>14</v>
      </c>
      <c r="O2" t="s">
        <v>87</v>
      </c>
      <c r="P2" t="s">
        <v>94</v>
      </c>
      <c r="Q2" s="1" t="s">
        <v>15</v>
      </c>
      <c r="R2" t="s">
        <v>90</v>
      </c>
      <c r="S2" t="s">
        <v>93</v>
      </c>
      <c r="T2" t="s">
        <v>16</v>
      </c>
      <c r="U2" t="s">
        <v>17</v>
      </c>
      <c r="V2" t="s">
        <v>18</v>
      </c>
      <c r="W2" t="s">
        <v>19</v>
      </c>
      <c r="X2" t="s">
        <v>20</v>
      </c>
      <c r="Y2" t="s">
        <v>21</v>
      </c>
      <c r="Z2" t="s">
        <v>91</v>
      </c>
      <c r="AA2" t="s">
        <v>23</v>
      </c>
      <c r="AB2" t="s">
        <v>24</v>
      </c>
      <c r="AC2" t="s">
        <v>25</v>
      </c>
      <c r="AD2" t="s">
        <v>26</v>
      </c>
      <c r="AE2" t="s">
        <v>27</v>
      </c>
    </row>
    <row r="3" spans="1:31" x14ac:dyDescent="0.25">
      <c r="A3" t="s">
        <v>28</v>
      </c>
      <c r="B3">
        <v>12.5623252127999</v>
      </c>
      <c r="C3">
        <v>0</v>
      </c>
      <c r="D3">
        <v>0</v>
      </c>
      <c r="E3">
        <v>3.4646140000000001</v>
      </c>
      <c r="G3">
        <v>0</v>
      </c>
      <c r="H3">
        <v>0</v>
      </c>
      <c r="I3">
        <v>0</v>
      </c>
      <c r="J3">
        <v>-2.9775510000000001</v>
      </c>
      <c r="L3" t="s">
        <v>29</v>
      </c>
      <c r="M3">
        <v>362.12547000000001</v>
      </c>
      <c r="N3" t="s">
        <v>29</v>
      </c>
      <c r="O3">
        <v>0</v>
      </c>
      <c r="P3">
        <f>VLOOKUP(A3,[2]METRICS!$AA$2:$AC$70,3,FALSE)</f>
        <v>0</v>
      </c>
      <c r="R3">
        <v>0</v>
      </c>
      <c r="S3">
        <f>VLOOKUP(A3,[2]METRICS!$AA$2:$AD$70,4,FALSE)</f>
        <v>0</v>
      </c>
      <c r="T3">
        <v>0</v>
      </c>
      <c r="U3">
        <v>100</v>
      </c>
      <c r="V3">
        <v>0</v>
      </c>
      <c r="W3">
        <v>3.4646140000000001</v>
      </c>
      <c r="X3">
        <v>8.8285859999999996</v>
      </c>
      <c r="Y3">
        <v>0</v>
      </c>
      <c r="Z3">
        <v>3.4646140000000001</v>
      </c>
      <c r="AB3">
        <v>209</v>
      </c>
      <c r="AC3">
        <v>1.4</v>
      </c>
      <c r="AD3">
        <v>2</v>
      </c>
      <c r="AE3" t="s">
        <v>30</v>
      </c>
    </row>
    <row r="4" spans="1:31" x14ac:dyDescent="0.25">
      <c r="A4" t="s">
        <v>31</v>
      </c>
      <c r="B4">
        <v>19.5548964086999</v>
      </c>
      <c r="C4">
        <v>5.0006000000000002E-2</v>
      </c>
      <c r="D4">
        <v>6.5090999999999996E-2</v>
      </c>
      <c r="E4">
        <v>0.60193099999999999</v>
      </c>
      <c r="G4">
        <v>0</v>
      </c>
      <c r="H4">
        <v>0</v>
      </c>
      <c r="I4">
        <v>0</v>
      </c>
      <c r="J4">
        <v>1777.750522</v>
      </c>
      <c r="L4" t="s">
        <v>32</v>
      </c>
      <c r="M4">
        <v>-619.10374200000001</v>
      </c>
      <c r="N4" t="s">
        <v>32</v>
      </c>
      <c r="O4">
        <v>0</v>
      </c>
      <c r="P4">
        <f>VLOOKUP(A4,[2]METRICS!$AA$2:$AC$70,3,FALSE)</f>
        <v>8479.4643928007117</v>
      </c>
      <c r="R4">
        <v>0</v>
      </c>
      <c r="S4">
        <f>VLOOKUP(A4,[2]METRICS!$AA$2:$AD$70,4,FALSE)</f>
        <v>0</v>
      </c>
      <c r="T4">
        <v>0</v>
      </c>
      <c r="U4">
        <v>89.065645000000004</v>
      </c>
      <c r="V4">
        <v>6.6052629999999999</v>
      </c>
      <c r="W4">
        <v>0.66523500000000002</v>
      </c>
      <c r="X4">
        <v>0.60245899999999997</v>
      </c>
      <c r="Y4">
        <v>0</v>
      </c>
      <c r="Z4">
        <v>0.63198500000000002</v>
      </c>
      <c r="AB4">
        <v>101.45</v>
      </c>
      <c r="AC4">
        <v>0.2</v>
      </c>
      <c r="AD4">
        <v>2</v>
      </c>
      <c r="AE4" t="s">
        <v>29</v>
      </c>
    </row>
    <row r="5" spans="1:31" x14ac:dyDescent="0.25">
      <c r="A5" t="s">
        <v>33</v>
      </c>
      <c r="B5">
        <v>13.9860489811</v>
      </c>
      <c r="C5">
        <v>6.4049999999999996E-2</v>
      </c>
      <c r="D5">
        <v>9.5439999999999997E-2</v>
      </c>
      <c r="E5">
        <v>1.5616369999999999</v>
      </c>
      <c r="G5">
        <v>0</v>
      </c>
      <c r="H5">
        <v>0</v>
      </c>
      <c r="I5">
        <v>0</v>
      </c>
      <c r="J5">
        <v>-42.687114999999999</v>
      </c>
      <c r="L5" t="s">
        <v>30</v>
      </c>
      <c r="M5">
        <v>-65.134493000000006</v>
      </c>
      <c r="N5" t="s">
        <v>30</v>
      </c>
      <c r="O5">
        <v>0</v>
      </c>
      <c r="P5">
        <f>VLOOKUP(A5,[2]METRICS!$AA$2:$AC$70,3,FALSE)</f>
        <v>8375.8624083221421</v>
      </c>
      <c r="R5">
        <v>0</v>
      </c>
      <c r="S5">
        <f>VLOOKUP(A5,[2]METRICS!$AA$2:$AD$70,4,FALSE)</f>
        <v>1.0102E-2</v>
      </c>
      <c r="T5">
        <v>0</v>
      </c>
      <c r="U5">
        <v>100</v>
      </c>
      <c r="V5">
        <v>3</v>
      </c>
      <c r="W5">
        <v>1.6835979999999999</v>
      </c>
      <c r="X5">
        <v>1.5626469999999999</v>
      </c>
      <c r="Y5">
        <v>0</v>
      </c>
      <c r="Z5">
        <v>1.5616369999999999</v>
      </c>
      <c r="AB5">
        <v>516.1</v>
      </c>
      <c r="AC5">
        <v>5.9</v>
      </c>
      <c r="AD5">
        <v>3</v>
      </c>
      <c r="AE5" t="s">
        <v>30</v>
      </c>
    </row>
    <row r="6" spans="1:31" x14ac:dyDescent="0.25">
      <c r="A6" t="s">
        <v>34</v>
      </c>
      <c r="B6">
        <v>97.643793810199895</v>
      </c>
      <c r="C6">
        <v>3.1002999999999999E-2</v>
      </c>
      <c r="D6">
        <v>2.8794E-2</v>
      </c>
      <c r="E6">
        <v>0.75893999999999995</v>
      </c>
      <c r="G6">
        <v>0</v>
      </c>
      <c r="H6">
        <v>0</v>
      </c>
      <c r="I6">
        <v>0</v>
      </c>
      <c r="J6">
        <v>1089.4292600000001</v>
      </c>
      <c r="L6" t="s">
        <v>29</v>
      </c>
      <c r="M6">
        <v>-155.06406699999999</v>
      </c>
      <c r="N6" t="s">
        <v>29</v>
      </c>
      <c r="O6">
        <v>0</v>
      </c>
      <c r="P6">
        <f>VLOOKUP(A6,[2]METRICS!$AA$2:$AC$70,3,FALSE)</f>
        <v>8709.6247791800379</v>
      </c>
      <c r="R6">
        <v>1</v>
      </c>
      <c r="S6">
        <f>VLOOKUP(A6,[2]METRICS!$AA$2:$AD$70,4,FALSE)</f>
        <v>0</v>
      </c>
      <c r="T6">
        <v>0</v>
      </c>
      <c r="U6">
        <v>99.089982000000006</v>
      </c>
      <c r="V6">
        <v>2.917808</v>
      </c>
      <c r="W6">
        <v>1.444715</v>
      </c>
      <c r="X6">
        <v>0.77599399999999996</v>
      </c>
      <c r="Y6">
        <v>0</v>
      </c>
      <c r="Z6">
        <v>0.75893999999999995</v>
      </c>
      <c r="AB6">
        <v>356.9</v>
      </c>
      <c r="AC6">
        <v>1.3</v>
      </c>
      <c r="AD6">
        <v>9</v>
      </c>
      <c r="AE6" t="s">
        <v>29</v>
      </c>
    </row>
    <row r="7" spans="1:31" x14ac:dyDescent="0.25">
      <c r="A7" t="s">
        <v>35</v>
      </c>
      <c r="B7">
        <v>76.826502077599898</v>
      </c>
      <c r="C7">
        <v>2.5319000000000001E-2</v>
      </c>
      <c r="D7">
        <v>2.5826999999999999E-2</v>
      </c>
      <c r="E7">
        <v>1.2186669999999999</v>
      </c>
      <c r="G7">
        <v>0</v>
      </c>
      <c r="H7">
        <v>0</v>
      </c>
      <c r="I7">
        <v>0</v>
      </c>
      <c r="J7">
        <v>-2.8680650000000001</v>
      </c>
      <c r="L7" t="s">
        <v>30</v>
      </c>
      <c r="M7">
        <v>98.831997000000001</v>
      </c>
      <c r="N7" t="s">
        <v>30</v>
      </c>
      <c r="O7">
        <v>0</v>
      </c>
      <c r="P7">
        <f>VLOOKUP(A7,[2]METRICS!$AA$2:$AC$70,3,FALSE)</f>
        <v>11762.504214589699</v>
      </c>
      <c r="R7">
        <v>0</v>
      </c>
      <c r="S7">
        <f>VLOOKUP(A7,[2]METRICS!$AA$2:$AD$70,4,FALSE)</f>
        <v>6.9096669999999998</v>
      </c>
      <c r="T7">
        <v>0</v>
      </c>
      <c r="U7">
        <v>100</v>
      </c>
      <c r="V7">
        <v>2.3098589999999999</v>
      </c>
      <c r="W7">
        <v>1.386415</v>
      </c>
      <c r="X7">
        <v>1.245034</v>
      </c>
      <c r="Y7">
        <v>0</v>
      </c>
      <c r="Z7">
        <v>1.2186669999999999</v>
      </c>
      <c r="AB7">
        <v>419.65</v>
      </c>
      <c r="AC7">
        <v>2.1</v>
      </c>
      <c r="AD7">
        <v>2</v>
      </c>
      <c r="AE7" t="s">
        <v>29</v>
      </c>
    </row>
    <row r="8" spans="1:31" x14ac:dyDescent="0.25">
      <c r="A8" t="s">
        <v>36</v>
      </c>
      <c r="B8">
        <v>3.4067871411100001</v>
      </c>
      <c r="C8">
        <v>0</v>
      </c>
      <c r="D8">
        <v>0</v>
      </c>
      <c r="E8">
        <v>0.76064900000000002</v>
      </c>
      <c r="G8">
        <v>0</v>
      </c>
      <c r="H8">
        <v>0</v>
      </c>
      <c r="I8">
        <v>0</v>
      </c>
      <c r="J8">
        <v>0.20379700000000001</v>
      </c>
      <c r="L8" t="s">
        <v>29</v>
      </c>
      <c r="M8">
        <v>0.25525700000000001</v>
      </c>
      <c r="N8" t="s">
        <v>29</v>
      </c>
      <c r="O8">
        <v>0</v>
      </c>
      <c r="P8">
        <f>VLOOKUP(A8,[2]METRICS!$AA$2:$AC$70,3,FALSE)</f>
        <v>30777.863990427129</v>
      </c>
      <c r="R8">
        <v>0</v>
      </c>
      <c r="S8">
        <f>VLOOKUP(A8,[2]METRICS!$AA$2:$AD$70,4,FALSE)</f>
        <v>0</v>
      </c>
      <c r="T8">
        <v>0</v>
      </c>
      <c r="U8">
        <v>100</v>
      </c>
      <c r="V8">
        <v>7.6</v>
      </c>
      <c r="W8">
        <v>0.76064900000000002</v>
      </c>
      <c r="X8">
        <v>0.77202300000000001</v>
      </c>
      <c r="Y8">
        <v>0</v>
      </c>
      <c r="Z8">
        <v>0.76064900000000002</v>
      </c>
      <c r="AB8">
        <v>223.45</v>
      </c>
      <c r="AC8">
        <v>0.8</v>
      </c>
      <c r="AD8">
        <v>0</v>
      </c>
      <c r="AE8" t="s">
        <v>29</v>
      </c>
    </row>
    <row r="9" spans="1:31" x14ac:dyDescent="0.25">
      <c r="A9" t="s">
        <v>37</v>
      </c>
      <c r="B9">
        <v>27.275757023800001</v>
      </c>
      <c r="C9">
        <v>7.2927000000000006E-2</v>
      </c>
      <c r="D9">
        <v>8.7304000000000007E-2</v>
      </c>
      <c r="E9">
        <v>1.13273</v>
      </c>
      <c r="G9">
        <v>0</v>
      </c>
      <c r="H9">
        <v>0</v>
      </c>
      <c r="I9">
        <v>0</v>
      </c>
      <c r="J9">
        <v>-178.486816</v>
      </c>
      <c r="L9" t="s">
        <v>29</v>
      </c>
      <c r="M9">
        <v>-112.433021</v>
      </c>
      <c r="N9" t="s">
        <v>29</v>
      </c>
      <c r="O9">
        <v>0</v>
      </c>
      <c r="P9">
        <f>VLOOKUP(A9,[2]METRICS!$AA$2:$AC$70,3,FALSE)</f>
        <v>629666.78271556285</v>
      </c>
      <c r="R9">
        <v>0</v>
      </c>
      <c r="S9">
        <f>VLOOKUP(A9,[2]METRICS!$AA$2:$AD$70,4,FALSE)</f>
        <v>0</v>
      </c>
      <c r="T9">
        <v>0</v>
      </c>
      <c r="U9">
        <v>99.978005999999993</v>
      </c>
      <c r="V9">
        <v>6.9259259999999996</v>
      </c>
      <c r="W9">
        <v>1.13273</v>
      </c>
      <c r="X9">
        <v>1.13273</v>
      </c>
      <c r="Y9">
        <v>0</v>
      </c>
      <c r="Z9">
        <v>1.13273</v>
      </c>
      <c r="AB9">
        <v>525.1</v>
      </c>
      <c r="AC9">
        <v>5.2</v>
      </c>
      <c r="AD9">
        <v>3</v>
      </c>
      <c r="AE9" t="s">
        <v>30</v>
      </c>
    </row>
    <row r="10" spans="1:31" x14ac:dyDescent="0.25">
      <c r="A10" t="s">
        <v>38</v>
      </c>
      <c r="B10">
        <v>60.320465667299899</v>
      </c>
      <c r="C10">
        <v>7.2656999999999999E-2</v>
      </c>
      <c r="D10">
        <v>8.5254999999999997E-2</v>
      </c>
      <c r="E10">
        <v>1.1464430000000001</v>
      </c>
      <c r="G10">
        <v>0</v>
      </c>
      <c r="H10">
        <v>0</v>
      </c>
      <c r="I10">
        <v>0</v>
      </c>
      <c r="J10">
        <v>-27.727687</v>
      </c>
      <c r="L10" t="s">
        <v>30</v>
      </c>
      <c r="M10">
        <v>-35.845731999999998</v>
      </c>
      <c r="N10" t="s">
        <v>30</v>
      </c>
      <c r="O10">
        <v>1.8940000000000001E-3</v>
      </c>
      <c r="P10">
        <f>VLOOKUP(A10,[2]METRICS!$AA$2:$AC$70,3,FALSE)</f>
        <v>17975.935296446409</v>
      </c>
      <c r="R10">
        <v>0</v>
      </c>
      <c r="S10">
        <f>VLOOKUP(A10,[2]METRICS!$AA$2:$AD$70,4,FALSE)</f>
        <v>0</v>
      </c>
      <c r="T10">
        <v>0</v>
      </c>
      <c r="U10">
        <v>92.700379999999996</v>
      </c>
      <c r="V10">
        <v>7.084746</v>
      </c>
      <c r="W10">
        <v>2.273558</v>
      </c>
      <c r="X10">
        <v>1.1511119999999999</v>
      </c>
      <c r="Y10">
        <v>0</v>
      </c>
      <c r="Z10">
        <v>1.1464430000000001</v>
      </c>
      <c r="AB10">
        <v>447.4</v>
      </c>
      <c r="AC10">
        <v>3.1</v>
      </c>
      <c r="AD10">
        <v>3</v>
      </c>
      <c r="AE10" t="s">
        <v>32</v>
      </c>
    </row>
    <row r="11" spans="1:31" x14ac:dyDescent="0.25">
      <c r="A11" t="s">
        <v>39</v>
      </c>
      <c r="B11">
        <v>20.004861967899899</v>
      </c>
      <c r="C11">
        <v>1.5568E-2</v>
      </c>
      <c r="D11">
        <v>2.3261E-2</v>
      </c>
      <c r="E11">
        <v>0.32028600000000002</v>
      </c>
      <c r="G11">
        <v>0</v>
      </c>
      <c r="H11">
        <v>0</v>
      </c>
      <c r="I11">
        <v>0</v>
      </c>
      <c r="J11">
        <v>-18.005410000000001</v>
      </c>
      <c r="L11" t="s">
        <v>29</v>
      </c>
      <c r="M11">
        <v>40.227235</v>
      </c>
      <c r="N11" t="s">
        <v>29</v>
      </c>
      <c r="O11">
        <v>0</v>
      </c>
      <c r="P11">
        <f>VLOOKUP(A11,[2]METRICS!$AA$2:$AC$70,3,FALSE)</f>
        <v>522528.69162565022</v>
      </c>
      <c r="R11">
        <v>0</v>
      </c>
      <c r="S11">
        <f>VLOOKUP(A11,[2]METRICS!$AA$2:$AD$70,4,FALSE)</f>
        <v>0</v>
      </c>
      <c r="T11">
        <v>0</v>
      </c>
      <c r="U11">
        <v>84.658698000000001</v>
      </c>
      <c r="V11">
        <v>7.6</v>
      </c>
      <c r="W11">
        <v>0.39413599999999999</v>
      </c>
      <c r="X11">
        <v>0.322772</v>
      </c>
      <c r="Y11">
        <v>0</v>
      </c>
      <c r="Z11">
        <v>0.32028600000000002</v>
      </c>
      <c r="AB11">
        <v>575.04999999999995</v>
      </c>
      <c r="AC11">
        <v>8.6</v>
      </c>
      <c r="AD11">
        <v>3</v>
      </c>
      <c r="AE11" t="s">
        <v>30</v>
      </c>
    </row>
    <row r="12" spans="1:31" x14ac:dyDescent="0.25">
      <c r="A12" t="s">
        <v>40</v>
      </c>
      <c r="B12">
        <v>76.142924098199899</v>
      </c>
      <c r="C12">
        <v>7.9389999999999999E-3</v>
      </c>
      <c r="D12">
        <v>8.9189999999999998E-3</v>
      </c>
      <c r="E12">
        <v>2.3123089999999999</v>
      </c>
      <c r="G12">
        <v>0</v>
      </c>
      <c r="H12">
        <v>0</v>
      </c>
      <c r="I12">
        <v>0</v>
      </c>
      <c r="J12">
        <v>-533.49195999999995</v>
      </c>
      <c r="L12" t="s">
        <v>29</v>
      </c>
      <c r="M12">
        <v>155.04096899999999</v>
      </c>
      <c r="N12" t="s">
        <v>29</v>
      </c>
      <c r="O12">
        <v>8.0999999999999996E-4</v>
      </c>
      <c r="P12">
        <f>VLOOKUP(A12,[2]METRICS!$AA$2:$AC$70,3,FALSE)</f>
        <v>27659.271267732205</v>
      </c>
      <c r="R12">
        <v>0</v>
      </c>
      <c r="S12">
        <f>VLOOKUP(A12,[2]METRICS!$AA$2:$AD$70,4,FALSE)</f>
        <v>0</v>
      </c>
      <c r="T12">
        <v>0</v>
      </c>
      <c r="U12">
        <v>100</v>
      </c>
      <c r="V12">
        <v>8.4864859999999993</v>
      </c>
      <c r="W12">
        <v>3.538065</v>
      </c>
      <c r="X12">
        <v>2.3123089999999999</v>
      </c>
      <c r="Y12">
        <v>0</v>
      </c>
      <c r="Z12">
        <v>2.3123089999999999</v>
      </c>
      <c r="AB12">
        <v>535.70000000000005</v>
      </c>
      <c r="AC12">
        <v>3.7</v>
      </c>
      <c r="AD12">
        <v>4</v>
      </c>
      <c r="AE12" t="s">
        <v>29</v>
      </c>
    </row>
    <row r="13" spans="1:31" x14ac:dyDescent="0.25">
      <c r="A13" t="s">
        <v>41</v>
      </c>
      <c r="B13">
        <v>41.656805026699899</v>
      </c>
      <c r="C13">
        <v>0.10799300000000001</v>
      </c>
      <c r="D13">
        <v>0.124902</v>
      </c>
      <c r="E13">
        <v>1.2498739999999999</v>
      </c>
      <c r="G13">
        <v>0</v>
      </c>
      <c r="H13">
        <v>0</v>
      </c>
      <c r="I13">
        <v>0</v>
      </c>
      <c r="J13">
        <v>69.662146000000007</v>
      </c>
      <c r="L13" t="s">
        <v>29</v>
      </c>
      <c r="M13">
        <v>2094.9242949999998</v>
      </c>
      <c r="N13" t="s">
        <v>29</v>
      </c>
      <c r="O13">
        <v>0</v>
      </c>
      <c r="P13">
        <f>VLOOKUP(A13,[2]METRICS!$AA$2:$AC$70,3,FALSE)</f>
        <v>64.758973685761944</v>
      </c>
      <c r="R13">
        <v>0</v>
      </c>
      <c r="S13">
        <f>VLOOKUP(A13,[2]METRICS!$AA$2:$AD$70,4,FALSE)</f>
        <v>0</v>
      </c>
      <c r="T13">
        <v>0</v>
      </c>
      <c r="U13">
        <v>87.052458999999999</v>
      </c>
      <c r="V13">
        <v>5.2380950000000004</v>
      </c>
      <c r="W13">
        <v>2.095135</v>
      </c>
      <c r="X13">
        <v>1.703813</v>
      </c>
      <c r="Y13">
        <v>0</v>
      </c>
      <c r="Z13">
        <v>1.2498739999999999</v>
      </c>
      <c r="AB13">
        <v>122.5</v>
      </c>
      <c r="AC13">
        <v>3.2</v>
      </c>
      <c r="AD13">
        <v>3</v>
      </c>
      <c r="AE13" t="s">
        <v>29</v>
      </c>
    </row>
    <row r="14" spans="1:31" x14ac:dyDescent="0.25">
      <c r="A14" t="s">
        <v>42</v>
      </c>
      <c r="B14">
        <v>18.352812943499899</v>
      </c>
      <c r="C14">
        <v>2.1129999999999999E-2</v>
      </c>
      <c r="D14">
        <v>2.0559000000000001E-2</v>
      </c>
      <c r="E14">
        <v>0.43931399999999998</v>
      </c>
      <c r="G14">
        <v>0</v>
      </c>
      <c r="H14">
        <v>43318.667211</v>
      </c>
      <c r="I14">
        <v>0</v>
      </c>
      <c r="J14">
        <v>1.521053</v>
      </c>
      <c r="L14" t="s">
        <v>29</v>
      </c>
      <c r="M14">
        <v>2598.1020469999999</v>
      </c>
      <c r="N14" t="s">
        <v>29</v>
      </c>
      <c r="O14">
        <v>0.35574800000000001</v>
      </c>
      <c r="P14">
        <f>VLOOKUP(A14,[2]METRICS!$AA$2:$AC$70,3,FALSE)</f>
        <v>1010.1163967661846</v>
      </c>
      <c r="R14">
        <v>0</v>
      </c>
      <c r="S14">
        <f>VLOOKUP(A14,[2]METRICS!$AA$2:$AD$70,4,FALSE)</f>
        <v>0</v>
      </c>
      <c r="T14">
        <v>0</v>
      </c>
      <c r="U14">
        <v>86.868532000000002</v>
      </c>
      <c r="V14">
        <v>3</v>
      </c>
      <c r="W14">
        <v>0.43931399999999998</v>
      </c>
      <c r="X14">
        <v>0.43931399999999998</v>
      </c>
      <c r="Y14">
        <v>0</v>
      </c>
      <c r="Z14">
        <v>0.43931399999999998</v>
      </c>
      <c r="AB14">
        <v>331.65</v>
      </c>
      <c r="AC14">
        <v>4.0999999999999996</v>
      </c>
      <c r="AD14">
        <v>5</v>
      </c>
      <c r="AE14" t="s">
        <v>32</v>
      </c>
    </row>
    <row r="15" spans="1:31" x14ac:dyDescent="0.25">
      <c r="A15" t="s">
        <v>43</v>
      </c>
      <c r="B15">
        <v>44.268066668400003</v>
      </c>
      <c r="C15">
        <v>6.5110000000000003E-3</v>
      </c>
      <c r="D15">
        <v>8.4580000000000002E-3</v>
      </c>
      <c r="E15">
        <v>1.322087</v>
      </c>
      <c r="G15">
        <v>1.307782</v>
      </c>
      <c r="H15">
        <v>2604.3583610000001</v>
      </c>
      <c r="I15">
        <v>1223.9787590000001</v>
      </c>
      <c r="J15">
        <v>190.347632</v>
      </c>
      <c r="L15" t="s">
        <v>29</v>
      </c>
      <c r="M15">
        <v>2133.0957370000001</v>
      </c>
      <c r="N15" t="s">
        <v>29</v>
      </c>
      <c r="O15">
        <v>0</v>
      </c>
      <c r="P15">
        <f>VLOOKUP(A15,[2]METRICS!$AA$2:$AC$70,3,FALSE)</f>
        <v>17.943992992896419</v>
      </c>
      <c r="R15">
        <v>0</v>
      </c>
      <c r="S15">
        <f>VLOOKUP(A15,[2]METRICS!$AA$2:$AD$70,4,FALSE)</f>
        <v>0</v>
      </c>
      <c r="T15">
        <v>0</v>
      </c>
      <c r="U15">
        <v>99.603166000000002</v>
      </c>
      <c r="V15">
        <v>4.8611110000000002</v>
      </c>
      <c r="W15">
        <v>2.1024750000000001</v>
      </c>
      <c r="X15">
        <v>1.341242</v>
      </c>
      <c r="Y15">
        <v>0</v>
      </c>
      <c r="Z15">
        <v>1.322087</v>
      </c>
      <c r="AB15">
        <v>190.05</v>
      </c>
      <c r="AC15">
        <v>2</v>
      </c>
      <c r="AD15">
        <v>3</v>
      </c>
      <c r="AE15" t="s">
        <v>30</v>
      </c>
    </row>
    <row r="16" spans="1:31" x14ac:dyDescent="0.25">
      <c r="A16" t="s">
        <v>44</v>
      </c>
      <c r="B16">
        <v>4.2164203195200001</v>
      </c>
      <c r="C16">
        <v>4.0308999999999998E-2</v>
      </c>
      <c r="D16">
        <v>7.4654999999999999E-2</v>
      </c>
      <c r="E16">
        <v>0.43935200000000002</v>
      </c>
      <c r="G16">
        <v>0</v>
      </c>
      <c r="H16">
        <v>0</v>
      </c>
      <c r="I16">
        <v>0</v>
      </c>
      <c r="J16">
        <v>-248.78194500000001</v>
      </c>
      <c r="L16" t="s">
        <v>29</v>
      </c>
      <c r="M16">
        <v>-251.62994900000001</v>
      </c>
      <c r="N16" t="s">
        <v>29</v>
      </c>
      <c r="O16">
        <v>0</v>
      </c>
      <c r="P16">
        <f>VLOOKUP(A16,[2]METRICS!$AA$2:$AC$70,3,FALSE)</f>
        <v>18344.290203630469</v>
      </c>
      <c r="R16">
        <v>0</v>
      </c>
      <c r="S16">
        <f>VLOOKUP(A16,[2]METRICS!$AA$2:$AD$70,4,FALSE)</f>
        <v>0</v>
      </c>
      <c r="T16">
        <v>0</v>
      </c>
      <c r="U16">
        <v>100</v>
      </c>
      <c r="V16">
        <v>4.7272730000000003</v>
      </c>
      <c r="W16">
        <v>0.43935200000000002</v>
      </c>
      <c r="X16">
        <v>0.43935200000000002</v>
      </c>
      <c r="Y16">
        <v>0</v>
      </c>
      <c r="Z16">
        <v>0.43935200000000002</v>
      </c>
      <c r="AB16">
        <v>257.3</v>
      </c>
      <c r="AC16">
        <v>3.7</v>
      </c>
      <c r="AD16">
        <v>3</v>
      </c>
      <c r="AE16" t="s">
        <v>32</v>
      </c>
    </row>
    <row r="17" spans="1:31" x14ac:dyDescent="0.25">
      <c r="A17" t="s">
        <v>45</v>
      </c>
      <c r="B17">
        <v>26.949391069800001</v>
      </c>
      <c r="C17">
        <v>2.4306999999999999E-2</v>
      </c>
      <c r="D17">
        <v>2.7793000000000002E-2</v>
      </c>
      <c r="E17">
        <v>2.357777</v>
      </c>
      <c r="G17">
        <v>0</v>
      </c>
      <c r="H17">
        <v>0</v>
      </c>
      <c r="I17">
        <v>0</v>
      </c>
      <c r="J17">
        <v>117.784279</v>
      </c>
      <c r="L17" t="s">
        <v>32</v>
      </c>
      <c r="M17">
        <v>5.4957989999999999</v>
      </c>
      <c r="N17" t="s">
        <v>32</v>
      </c>
      <c r="O17">
        <v>0</v>
      </c>
      <c r="P17">
        <f>VLOOKUP(A17,[2]METRICS!$AA$2:$AC$70,3,FALSE)</f>
        <v>0</v>
      </c>
      <c r="R17">
        <v>0</v>
      </c>
      <c r="S17">
        <f>VLOOKUP(A17,[2]METRICS!$AA$2:$AD$70,4,FALSE)</f>
        <v>0</v>
      </c>
      <c r="T17">
        <v>0</v>
      </c>
      <c r="U17">
        <v>100</v>
      </c>
      <c r="V17">
        <v>3</v>
      </c>
      <c r="W17">
        <v>2.357777</v>
      </c>
      <c r="X17">
        <v>2.359178</v>
      </c>
      <c r="Y17">
        <v>0</v>
      </c>
      <c r="Z17">
        <v>2.357777</v>
      </c>
      <c r="AB17">
        <v>165.95</v>
      </c>
      <c r="AC17">
        <v>2.2000000000000002</v>
      </c>
      <c r="AD17">
        <v>3</v>
      </c>
      <c r="AE17" t="s">
        <v>29</v>
      </c>
    </row>
    <row r="18" spans="1:31" x14ac:dyDescent="0.25">
      <c r="A18" t="s">
        <v>46</v>
      </c>
      <c r="B18">
        <v>4.1639821022800003</v>
      </c>
      <c r="C18">
        <v>5.7325000000000001E-2</v>
      </c>
      <c r="D18">
        <v>0.12588099999999999</v>
      </c>
      <c r="E18">
        <v>0.28718399999999999</v>
      </c>
      <c r="G18">
        <v>0</v>
      </c>
      <c r="H18">
        <v>0</v>
      </c>
      <c r="I18">
        <v>0</v>
      </c>
      <c r="J18">
        <v>0.38067899999999999</v>
      </c>
      <c r="L18" t="s">
        <v>30</v>
      </c>
      <c r="M18">
        <v>-17.689900000000002</v>
      </c>
      <c r="N18" t="s">
        <v>30</v>
      </c>
      <c r="O18">
        <v>9.6450000000000008E-3</v>
      </c>
      <c r="P18">
        <f>VLOOKUP(A18,[2]METRICS!$AA$2:$AC$70,3,FALSE)</f>
        <v>270.13233497046156</v>
      </c>
      <c r="R18">
        <v>0</v>
      </c>
      <c r="S18">
        <f>VLOOKUP(A18,[2]METRICS!$AA$2:$AD$70,4,FALSE)</f>
        <v>0.192966</v>
      </c>
      <c r="T18">
        <v>0</v>
      </c>
      <c r="U18">
        <v>100</v>
      </c>
      <c r="V18">
        <v>10</v>
      </c>
      <c r="W18">
        <v>0.29133799999999999</v>
      </c>
      <c r="X18">
        <v>0.31534899999999999</v>
      </c>
      <c r="Y18">
        <v>0</v>
      </c>
      <c r="Z18">
        <v>0.28718399999999999</v>
      </c>
      <c r="AB18">
        <v>180.55</v>
      </c>
      <c r="AC18">
        <v>7.9</v>
      </c>
      <c r="AD18">
        <v>3</v>
      </c>
      <c r="AE18" t="s">
        <v>30</v>
      </c>
    </row>
    <row r="19" spans="1:31" x14ac:dyDescent="0.25">
      <c r="A19" t="s">
        <v>47</v>
      </c>
      <c r="B19">
        <v>42.291837041199898</v>
      </c>
      <c r="C19">
        <v>2.0716999999999999E-2</v>
      </c>
      <c r="D19">
        <v>3.2849999999999997E-2</v>
      </c>
      <c r="E19">
        <v>4.1468030000000002</v>
      </c>
      <c r="G19">
        <v>0</v>
      </c>
      <c r="H19">
        <v>0</v>
      </c>
      <c r="I19">
        <v>0</v>
      </c>
      <c r="J19">
        <v>-10.526013000000001</v>
      </c>
      <c r="L19" t="s">
        <v>29</v>
      </c>
      <c r="M19">
        <v>-28.501591000000001</v>
      </c>
      <c r="N19" t="s">
        <v>29</v>
      </c>
      <c r="O19">
        <v>0</v>
      </c>
      <c r="P19">
        <f>VLOOKUP(A19,[2]METRICS!$AA$2:$AC$70,3,FALSE)</f>
        <v>280.43993590001998</v>
      </c>
      <c r="R19">
        <v>0</v>
      </c>
      <c r="S19">
        <f>VLOOKUP(A19,[2]METRICS!$AA$2:$AD$70,4,FALSE)</f>
        <v>0</v>
      </c>
      <c r="T19">
        <v>0</v>
      </c>
      <c r="U19">
        <v>100</v>
      </c>
      <c r="V19">
        <v>4</v>
      </c>
      <c r="W19">
        <v>4.2173639999999999</v>
      </c>
      <c r="X19">
        <v>4.1665869999999998</v>
      </c>
      <c r="Y19">
        <v>0</v>
      </c>
      <c r="Z19">
        <v>4.1468030000000002</v>
      </c>
      <c r="AB19">
        <v>81</v>
      </c>
      <c r="AC19">
        <v>0.4</v>
      </c>
      <c r="AD19">
        <v>7</v>
      </c>
      <c r="AE19" t="s">
        <v>32</v>
      </c>
    </row>
    <row r="20" spans="1:31" x14ac:dyDescent="0.25">
      <c r="A20" t="s">
        <v>48</v>
      </c>
      <c r="B20">
        <v>182.860403915999</v>
      </c>
      <c r="C20">
        <v>4.3513000000000003E-2</v>
      </c>
      <c r="D20">
        <v>5.2899000000000002E-2</v>
      </c>
      <c r="E20">
        <v>0.57847800000000005</v>
      </c>
      <c r="G20">
        <v>0</v>
      </c>
      <c r="H20">
        <v>0</v>
      </c>
      <c r="I20">
        <v>0</v>
      </c>
      <c r="J20">
        <v>9.5557730000000003</v>
      </c>
      <c r="L20" t="s">
        <v>30</v>
      </c>
      <c r="M20">
        <v>402.39098000000001</v>
      </c>
      <c r="N20" t="s">
        <v>30</v>
      </c>
      <c r="O20">
        <v>5.2300000000000003E-3</v>
      </c>
      <c r="P20">
        <f>VLOOKUP(A20,[2]METRICS!$AA$2:$AC$70,3,FALSE)</f>
        <v>24891.867508822459</v>
      </c>
      <c r="R20">
        <v>1</v>
      </c>
      <c r="S20">
        <f>VLOOKUP(A20,[2]METRICS!$AA$2:$AD$70,4,FALSE)</f>
        <v>2.4782749007214462</v>
      </c>
      <c r="T20">
        <v>0</v>
      </c>
      <c r="U20">
        <v>84.398865999999998</v>
      </c>
      <c r="V20">
        <v>7.5944440000000002</v>
      </c>
      <c r="W20">
        <v>0.63869900000000002</v>
      </c>
      <c r="X20">
        <v>0.58203199999999999</v>
      </c>
      <c r="Y20">
        <v>0</v>
      </c>
      <c r="Z20">
        <v>0.57743299999999997</v>
      </c>
      <c r="AB20">
        <v>740.7</v>
      </c>
      <c r="AC20">
        <v>5.5</v>
      </c>
      <c r="AD20">
        <v>11</v>
      </c>
      <c r="AE20" t="s">
        <v>29</v>
      </c>
    </row>
    <row r="21" spans="1:31" x14ac:dyDescent="0.25">
      <c r="A21" t="s">
        <v>49</v>
      </c>
      <c r="B21">
        <v>20.2626475462</v>
      </c>
      <c r="C21">
        <v>8.7540999999999994E-2</v>
      </c>
      <c r="D21">
        <v>7.9607999999999998E-2</v>
      </c>
      <c r="E21">
        <v>0.22040100000000001</v>
      </c>
      <c r="G21">
        <v>0</v>
      </c>
      <c r="H21">
        <v>0</v>
      </c>
      <c r="I21">
        <v>0</v>
      </c>
      <c r="J21">
        <v>57.198106000000003</v>
      </c>
      <c r="L21" t="s">
        <v>30</v>
      </c>
      <c r="M21">
        <v>226.27852200000001</v>
      </c>
      <c r="N21" t="s">
        <v>30</v>
      </c>
      <c r="O21">
        <v>0.27659099999999998</v>
      </c>
      <c r="P21">
        <f>VLOOKUP(A21,[2]METRICS!$AA$2:$AC$70,3,FALSE)</f>
        <v>2758.2523460337147</v>
      </c>
      <c r="R21">
        <v>1</v>
      </c>
      <c r="S21">
        <f>VLOOKUP(A21,[2]METRICS!$AA$2:$AD$70,4,FALSE)</f>
        <v>0.27461609927855396</v>
      </c>
      <c r="T21">
        <v>0</v>
      </c>
      <c r="U21">
        <v>10.872317000000001</v>
      </c>
      <c r="V21">
        <v>6.5333329999999998</v>
      </c>
      <c r="W21">
        <v>0.21185899999999999</v>
      </c>
      <c r="X21">
        <v>0.22250400000000001</v>
      </c>
      <c r="Y21">
        <v>0</v>
      </c>
      <c r="Z21">
        <v>0.21185899999999999</v>
      </c>
      <c r="AB21">
        <v>412.75</v>
      </c>
      <c r="AC21">
        <v>6.6</v>
      </c>
      <c r="AD21">
        <v>5</v>
      </c>
      <c r="AE21" t="s">
        <v>30</v>
      </c>
    </row>
    <row r="22" spans="1:31" x14ac:dyDescent="0.25">
      <c r="A22" t="s">
        <v>50</v>
      </c>
      <c r="B22">
        <v>90.816483914100004</v>
      </c>
      <c r="C22">
        <v>1.6156E-2</v>
      </c>
      <c r="D22">
        <v>1.8409999999999999E-2</v>
      </c>
      <c r="E22">
        <v>0.663018</v>
      </c>
      <c r="G22">
        <v>3.6077170000000001</v>
      </c>
      <c r="H22">
        <v>0</v>
      </c>
      <c r="I22">
        <v>102.159536</v>
      </c>
      <c r="J22">
        <v>214.303639</v>
      </c>
      <c r="L22" t="s">
        <v>29</v>
      </c>
      <c r="M22">
        <v>-169.433291</v>
      </c>
      <c r="N22" t="s">
        <v>29</v>
      </c>
      <c r="O22">
        <v>0.15105499999999999</v>
      </c>
      <c r="P22">
        <f>VLOOKUP(A22,[2]METRICS!$AA$2:$AC$70,3,FALSE)</f>
        <v>15237.499063175241</v>
      </c>
      <c r="R22">
        <v>1</v>
      </c>
      <c r="S22">
        <f>VLOOKUP(A22,[2]METRICS!$AA$2:$AD$70,4,FALSE)</f>
        <v>0</v>
      </c>
      <c r="T22">
        <v>0</v>
      </c>
      <c r="U22">
        <v>94.378371000000001</v>
      </c>
      <c r="V22">
        <v>7.21875</v>
      </c>
      <c r="W22">
        <v>0.78267799999999998</v>
      </c>
      <c r="X22">
        <v>0.69797299999999995</v>
      </c>
      <c r="Y22">
        <v>0</v>
      </c>
      <c r="Z22">
        <v>0.663018</v>
      </c>
      <c r="AB22">
        <v>189</v>
      </c>
      <c r="AC22">
        <v>6.5</v>
      </c>
      <c r="AD22">
        <v>6</v>
      </c>
      <c r="AE22" t="s">
        <v>32</v>
      </c>
    </row>
    <row r="23" spans="1:31" x14ac:dyDescent="0.25">
      <c r="A23" t="s">
        <v>51</v>
      </c>
      <c r="B23">
        <v>35.996736132800002</v>
      </c>
      <c r="C23">
        <v>2.5493999999999999E-2</v>
      </c>
      <c r="D23">
        <v>5.0011E-2</v>
      </c>
      <c r="E23">
        <v>0.67031499999999999</v>
      </c>
      <c r="G23">
        <v>1.06149</v>
      </c>
      <c r="H23">
        <v>0</v>
      </c>
      <c r="I23">
        <v>206.693048</v>
      </c>
      <c r="J23">
        <v>30.215817000000001</v>
      </c>
      <c r="L23" t="s">
        <v>32</v>
      </c>
      <c r="M23">
        <v>2333.7546400000001</v>
      </c>
      <c r="N23" t="s">
        <v>32</v>
      </c>
      <c r="O23">
        <v>1.5756110000000001</v>
      </c>
      <c r="P23">
        <f>VLOOKUP(A23,[2]METRICS!$AA$2:$AC$70,3,FALSE)</f>
        <v>26695.365599251189</v>
      </c>
      <c r="R23">
        <v>0</v>
      </c>
      <c r="S23">
        <f>VLOOKUP(A23,[2]METRICS!$AA$2:$AD$70,4,FALSE)</f>
        <v>2.3719840000000003</v>
      </c>
      <c r="T23">
        <v>1</v>
      </c>
      <c r="U23">
        <v>67.803560000000004</v>
      </c>
      <c r="V23">
        <v>4.8253969999999997</v>
      </c>
      <c r="W23">
        <v>0.81977199999999995</v>
      </c>
      <c r="X23">
        <v>0.67339599999999999</v>
      </c>
      <c r="Y23">
        <v>0</v>
      </c>
      <c r="Z23">
        <v>0.67031499999999999</v>
      </c>
      <c r="AB23">
        <v>313.89999999999998</v>
      </c>
      <c r="AC23">
        <v>13.1</v>
      </c>
      <c r="AD23">
        <v>3</v>
      </c>
      <c r="AE23" t="s">
        <v>30</v>
      </c>
    </row>
    <row r="24" spans="1:31" x14ac:dyDescent="0.25">
      <c r="A24" t="s">
        <v>52</v>
      </c>
      <c r="B24">
        <v>56.3240863179999</v>
      </c>
      <c r="C24">
        <v>1.4073E-2</v>
      </c>
      <c r="D24">
        <v>1.409E-2</v>
      </c>
      <c r="E24">
        <v>0.54873700000000003</v>
      </c>
      <c r="G24">
        <v>0</v>
      </c>
      <c r="H24">
        <v>0</v>
      </c>
      <c r="I24">
        <v>0</v>
      </c>
      <c r="J24">
        <v>886.541112</v>
      </c>
      <c r="L24" t="s">
        <v>30</v>
      </c>
      <c r="M24">
        <v>-760.15068099999996</v>
      </c>
      <c r="N24" t="s">
        <v>30</v>
      </c>
      <c r="O24">
        <v>0.51949400000000001</v>
      </c>
      <c r="P24">
        <f>VLOOKUP(A24,[2]METRICS!$AA$2:$AC$70,3,FALSE)</f>
        <v>135336.73429903755</v>
      </c>
      <c r="R24">
        <v>1</v>
      </c>
      <c r="S24">
        <f>VLOOKUP(A24,[2]METRICS!$AA$2:$AD$70,4,FALSE)</f>
        <v>6.7377734377163945</v>
      </c>
      <c r="T24">
        <v>1</v>
      </c>
      <c r="U24">
        <v>100</v>
      </c>
      <c r="V24">
        <v>5.1785709999999998</v>
      </c>
      <c r="W24">
        <v>0.82549499999999998</v>
      </c>
      <c r="X24">
        <v>0.56111</v>
      </c>
      <c r="Y24">
        <v>0</v>
      </c>
      <c r="Z24">
        <v>0.54873700000000003</v>
      </c>
      <c r="AB24">
        <v>243.45</v>
      </c>
      <c r="AC24">
        <v>1.1000000000000001</v>
      </c>
      <c r="AD24">
        <v>6</v>
      </c>
      <c r="AE24" t="s">
        <v>30</v>
      </c>
    </row>
    <row r="25" spans="1:31" x14ac:dyDescent="0.25">
      <c r="A25" t="s">
        <v>53</v>
      </c>
      <c r="B25">
        <v>43.110311660000001</v>
      </c>
      <c r="C25">
        <v>7.5870000000000007E-2</v>
      </c>
      <c r="D25">
        <v>7.3211999999999999E-2</v>
      </c>
      <c r="E25">
        <v>0.54873700000000003</v>
      </c>
      <c r="G25">
        <v>1.8903639999999999</v>
      </c>
      <c r="H25">
        <v>9297.4562000000005</v>
      </c>
      <c r="I25">
        <v>443.710015</v>
      </c>
      <c r="J25">
        <v>911.27701200000001</v>
      </c>
      <c r="L25" t="s">
        <v>29</v>
      </c>
      <c r="M25">
        <v>122.013903</v>
      </c>
      <c r="N25" t="s">
        <v>29</v>
      </c>
      <c r="O25">
        <v>0.66171800000000003</v>
      </c>
      <c r="P25">
        <f>VLOOKUP(A25,[2]METRICS!$AA$2:$AC$70,3,FALSE)</f>
        <v>103586.39040742992</v>
      </c>
      <c r="R25">
        <v>0</v>
      </c>
      <c r="S25">
        <f>VLOOKUP(A25,[2]METRICS!$AA$2:$AD$70,4,FALSE)</f>
        <v>5.1570745622836061</v>
      </c>
      <c r="T25">
        <v>1</v>
      </c>
      <c r="U25">
        <v>29.463536999999999</v>
      </c>
      <c r="V25">
        <v>11.247934000000001</v>
      </c>
      <c r="W25">
        <v>0.82549499999999998</v>
      </c>
      <c r="X25">
        <v>0.56111</v>
      </c>
      <c r="Y25">
        <v>0</v>
      </c>
      <c r="Z25">
        <v>0.54873700000000003</v>
      </c>
      <c r="AB25">
        <v>358.85</v>
      </c>
      <c r="AC25">
        <v>3.2</v>
      </c>
      <c r="AD25">
        <v>8</v>
      </c>
      <c r="AE25" t="s">
        <v>29</v>
      </c>
    </row>
    <row r="26" spans="1:31" x14ac:dyDescent="0.25">
      <c r="A26" t="s">
        <v>54</v>
      </c>
      <c r="B26">
        <v>41.542048884700002</v>
      </c>
      <c r="C26">
        <v>2.3300000000000001E-2</v>
      </c>
      <c r="D26">
        <v>3.9487000000000001E-2</v>
      </c>
      <c r="E26">
        <v>0.50789899999999999</v>
      </c>
      <c r="G26">
        <v>0</v>
      </c>
      <c r="H26">
        <v>0</v>
      </c>
      <c r="I26">
        <v>0</v>
      </c>
      <c r="J26">
        <v>-334.88509800000003</v>
      </c>
      <c r="L26" t="s">
        <v>30</v>
      </c>
      <c r="M26">
        <v>1058.4654129999999</v>
      </c>
      <c r="N26" t="s">
        <v>30</v>
      </c>
      <c r="O26">
        <v>0</v>
      </c>
      <c r="P26">
        <f>VLOOKUP(A26,[2]METRICS!$AA$2:$AC$70,3,FALSE)</f>
        <v>8481.7203106018223</v>
      </c>
      <c r="R26">
        <v>0</v>
      </c>
      <c r="S26">
        <f>VLOOKUP(A26,[2]METRICS!$AA$2:$AD$70,4,FALSE)</f>
        <v>0</v>
      </c>
      <c r="T26">
        <v>0</v>
      </c>
      <c r="U26">
        <v>94.921351000000001</v>
      </c>
      <c r="V26">
        <v>7.5376339999999997</v>
      </c>
      <c r="W26">
        <v>0.50789899999999999</v>
      </c>
      <c r="X26">
        <v>0.51470800000000005</v>
      </c>
      <c r="Y26">
        <v>0</v>
      </c>
      <c r="Z26">
        <v>0.50789899999999999</v>
      </c>
      <c r="AB26">
        <v>269.75</v>
      </c>
      <c r="AC26">
        <v>1.9</v>
      </c>
      <c r="AD26">
        <v>7</v>
      </c>
      <c r="AE26" t="s">
        <v>29</v>
      </c>
    </row>
    <row r="27" spans="1:31" x14ac:dyDescent="0.25">
      <c r="A27" t="s">
        <v>55</v>
      </c>
      <c r="B27">
        <v>76.8165697300999</v>
      </c>
      <c r="C27">
        <v>4.4338000000000002E-2</v>
      </c>
      <c r="D27">
        <v>4.9750999999999997E-2</v>
      </c>
      <c r="E27">
        <v>0.55071499999999995</v>
      </c>
      <c r="G27">
        <v>0</v>
      </c>
      <c r="H27">
        <v>0</v>
      </c>
      <c r="I27">
        <v>0</v>
      </c>
      <c r="J27">
        <v>-91.116540999999998</v>
      </c>
      <c r="L27" t="s">
        <v>30</v>
      </c>
      <c r="M27">
        <v>1158.7840180000001</v>
      </c>
      <c r="N27" t="s">
        <v>30</v>
      </c>
      <c r="O27">
        <v>0.15715999999999999</v>
      </c>
      <c r="P27">
        <f>VLOOKUP(A27,[2]METRICS!$AA$2:$AC$70,3,FALSE)</f>
        <v>91.091571214960297</v>
      </c>
      <c r="R27">
        <v>0</v>
      </c>
      <c r="S27">
        <f>VLOOKUP(A27,[2]METRICS!$AA$2:$AD$70,4,FALSE)</f>
        <v>0</v>
      </c>
      <c r="T27">
        <v>0</v>
      </c>
      <c r="U27">
        <v>98.942004999999995</v>
      </c>
      <c r="V27">
        <v>4.8679249999999996</v>
      </c>
      <c r="W27">
        <v>0.55562999999999996</v>
      </c>
      <c r="X27">
        <v>0.60800200000000004</v>
      </c>
      <c r="Y27">
        <v>0</v>
      </c>
      <c r="Z27">
        <v>0.55071499999999995</v>
      </c>
      <c r="AB27">
        <v>436.6</v>
      </c>
      <c r="AC27">
        <v>3.3</v>
      </c>
      <c r="AD27">
        <v>9</v>
      </c>
      <c r="AE27" t="s">
        <v>32</v>
      </c>
    </row>
    <row r="28" spans="1:31" x14ac:dyDescent="0.25">
      <c r="A28" t="s">
        <v>56</v>
      </c>
      <c r="B28">
        <v>75.904228896299898</v>
      </c>
      <c r="C28">
        <v>4.6556E-2</v>
      </c>
      <c r="D28">
        <v>6.1123999999999998E-2</v>
      </c>
      <c r="E28">
        <v>0.51567300000000005</v>
      </c>
      <c r="G28">
        <v>0</v>
      </c>
      <c r="H28">
        <v>0</v>
      </c>
      <c r="I28">
        <v>0</v>
      </c>
      <c r="J28">
        <v>197.370102</v>
      </c>
      <c r="L28" t="s">
        <v>30</v>
      </c>
      <c r="M28">
        <v>1532.2768040000001</v>
      </c>
      <c r="N28" t="s">
        <v>30</v>
      </c>
      <c r="O28">
        <v>0</v>
      </c>
      <c r="P28">
        <f>VLOOKUP(A28,[2]METRICS!$AA$2:$AC$70,3,FALSE)</f>
        <v>20768.635997710287</v>
      </c>
      <c r="R28">
        <v>0</v>
      </c>
      <c r="S28">
        <f>VLOOKUP(A28,[2]METRICS!$AA$2:$AD$70,4,FALSE)</f>
        <v>1.701012</v>
      </c>
      <c r="T28">
        <v>0</v>
      </c>
      <c r="U28">
        <v>62.093412000000001</v>
      </c>
      <c r="V28">
        <v>5.6071429999999998</v>
      </c>
      <c r="W28">
        <v>0.55846700000000005</v>
      </c>
      <c r="X28">
        <v>0.54440699999999997</v>
      </c>
      <c r="Y28">
        <v>0</v>
      </c>
      <c r="Z28">
        <v>0.51739000000000002</v>
      </c>
      <c r="AB28">
        <v>456.95</v>
      </c>
      <c r="AC28">
        <v>4.7</v>
      </c>
      <c r="AD28">
        <v>9</v>
      </c>
      <c r="AE28" t="s">
        <v>30</v>
      </c>
    </row>
    <row r="29" spans="1:31" x14ac:dyDescent="0.25">
      <c r="A29" t="s">
        <v>57</v>
      </c>
      <c r="B29">
        <v>24.2876317204</v>
      </c>
      <c r="C29">
        <v>7.2392999999999999E-2</v>
      </c>
      <c r="D29">
        <v>8.5985000000000006E-2</v>
      </c>
      <c r="E29">
        <v>0.28510600000000003</v>
      </c>
      <c r="G29">
        <v>2.1191789999999999</v>
      </c>
      <c r="H29">
        <v>16407.630662</v>
      </c>
      <c r="I29">
        <v>888.48335599999996</v>
      </c>
      <c r="J29">
        <v>62.777517000000003</v>
      </c>
      <c r="L29" t="s">
        <v>29</v>
      </c>
      <c r="M29">
        <v>239.934271</v>
      </c>
      <c r="N29" t="s">
        <v>29</v>
      </c>
      <c r="O29">
        <v>0.292489</v>
      </c>
      <c r="P29">
        <f>VLOOKUP(A29,[2]METRICS!$AA$2:$AC$70,3,FALSE)</f>
        <v>636160.97660782433</v>
      </c>
      <c r="R29">
        <v>0</v>
      </c>
      <c r="S29">
        <f>VLOOKUP(A29,[2]METRICS!$AA$2:$AD$70,4,FALSE)</f>
        <v>4.2965460000000002</v>
      </c>
      <c r="T29">
        <v>0</v>
      </c>
      <c r="U29">
        <v>28.996843999999999</v>
      </c>
      <c r="V29">
        <v>9.4210530000000006</v>
      </c>
      <c r="W29">
        <v>0.305448</v>
      </c>
      <c r="X29">
        <v>0.29849900000000001</v>
      </c>
      <c r="Y29">
        <v>0</v>
      </c>
      <c r="Z29">
        <v>0.28510600000000003</v>
      </c>
      <c r="AB29">
        <v>583.70000000000005</v>
      </c>
      <c r="AC29">
        <v>10.199999999999999</v>
      </c>
      <c r="AD29">
        <v>3</v>
      </c>
      <c r="AE29" t="s">
        <v>30</v>
      </c>
    </row>
    <row r="30" spans="1:31" x14ac:dyDescent="0.25">
      <c r="A30" t="s">
        <v>58</v>
      </c>
      <c r="B30">
        <v>16.2004129271</v>
      </c>
      <c r="C30">
        <v>2.5478000000000001E-2</v>
      </c>
      <c r="D30">
        <v>1.8075000000000001E-2</v>
      </c>
      <c r="E30">
        <v>0.55335400000000001</v>
      </c>
      <c r="G30">
        <v>0</v>
      </c>
      <c r="H30">
        <v>0</v>
      </c>
      <c r="I30">
        <v>0</v>
      </c>
      <c r="J30">
        <v>-640.74227900000005</v>
      </c>
      <c r="L30" t="s">
        <v>29</v>
      </c>
      <c r="M30">
        <v>2451.6318379999998</v>
      </c>
      <c r="N30" t="s">
        <v>29</v>
      </c>
      <c r="O30">
        <v>0</v>
      </c>
      <c r="P30">
        <f>VLOOKUP(A30,[2]METRICS!$AA$2:$AC$70,3,FALSE)</f>
        <v>117157.57527829465</v>
      </c>
      <c r="R30">
        <v>0</v>
      </c>
      <c r="S30">
        <f>VLOOKUP(A30,[2]METRICS!$AA$2:$AD$70,4,FALSE)</f>
        <v>0.28066200000000002</v>
      </c>
      <c r="T30">
        <v>0</v>
      </c>
      <c r="U30">
        <v>70.487317000000004</v>
      </c>
      <c r="V30">
        <v>5.7575760000000002</v>
      </c>
      <c r="W30">
        <v>0.55335400000000001</v>
      </c>
      <c r="X30">
        <v>0.57173200000000002</v>
      </c>
      <c r="Y30">
        <v>0</v>
      </c>
      <c r="Z30">
        <v>0.55335400000000001</v>
      </c>
      <c r="AB30">
        <v>296.8</v>
      </c>
      <c r="AC30">
        <v>4.3</v>
      </c>
      <c r="AD30">
        <v>2</v>
      </c>
      <c r="AE30" t="s">
        <v>29</v>
      </c>
    </row>
    <row r="31" spans="1:31" x14ac:dyDescent="0.25">
      <c r="A31" t="s">
        <v>59</v>
      </c>
      <c r="B31">
        <v>16.3123234551</v>
      </c>
      <c r="C31">
        <v>1.3544E-2</v>
      </c>
      <c r="D31">
        <v>3.5859000000000002E-2</v>
      </c>
      <c r="E31">
        <v>0.53287899999999999</v>
      </c>
      <c r="G31">
        <v>0</v>
      </c>
      <c r="H31">
        <v>0</v>
      </c>
      <c r="I31">
        <v>0</v>
      </c>
      <c r="J31">
        <v>-147.11068</v>
      </c>
      <c r="L31" t="s">
        <v>30</v>
      </c>
      <c r="M31">
        <v>159.95828900000001</v>
      </c>
      <c r="N31" t="s">
        <v>30</v>
      </c>
      <c r="O31">
        <v>2.6856000000000001E-2</v>
      </c>
      <c r="P31">
        <f>VLOOKUP(A31,[2]METRICS!$AA$2:$AC$70,3,FALSE)</f>
        <v>6371.5316129526991</v>
      </c>
      <c r="R31">
        <v>0</v>
      </c>
      <c r="S31">
        <f>VLOOKUP(A31,[2]METRICS!$AA$2:$AD$70,4,FALSE)</f>
        <v>0.58067702347356132</v>
      </c>
      <c r="T31">
        <v>0</v>
      </c>
      <c r="U31">
        <v>68.600060999999997</v>
      </c>
      <c r="V31">
        <v>6.4411759999999996</v>
      </c>
      <c r="W31">
        <v>0.53287899999999999</v>
      </c>
      <c r="X31">
        <v>0.53428699999999996</v>
      </c>
      <c r="Y31">
        <v>0</v>
      </c>
      <c r="Z31">
        <v>0.53287899999999999</v>
      </c>
      <c r="AB31">
        <v>393.55</v>
      </c>
      <c r="AC31">
        <v>3.7</v>
      </c>
      <c r="AD31">
        <v>8</v>
      </c>
      <c r="AE31" t="s">
        <v>30</v>
      </c>
    </row>
    <row r="32" spans="1:31" x14ac:dyDescent="0.25">
      <c r="A32" t="s">
        <v>60</v>
      </c>
      <c r="B32">
        <v>84.428982097299894</v>
      </c>
      <c r="C32">
        <v>6.6148999999999999E-2</v>
      </c>
      <c r="D32">
        <v>0.13474</v>
      </c>
      <c r="E32">
        <v>0.33188099999999998</v>
      </c>
      <c r="G32">
        <v>2.4313099999999999</v>
      </c>
      <c r="H32">
        <v>63663.844443000002</v>
      </c>
      <c r="I32">
        <v>2529.7467200000001</v>
      </c>
      <c r="J32">
        <v>-80.739850000000004</v>
      </c>
      <c r="L32" t="s">
        <v>30</v>
      </c>
      <c r="M32">
        <v>3106.4595239999999</v>
      </c>
      <c r="N32" t="s">
        <v>30</v>
      </c>
      <c r="O32">
        <v>2.3649E-2</v>
      </c>
      <c r="P32">
        <f>VLOOKUP(A32,[2]METRICS!$AA$2:$AC$70,3,FALSE)</f>
        <v>32977.639878406029</v>
      </c>
      <c r="R32">
        <v>1</v>
      </c>
      <c r="S32">
        <f>VLOOKUP(A32,[2]METRICS!$AA$2:$AD$70,4,FALSE)</f>
        <v>3.0054559765264384</v>
      </c>
      <c r="T32">
        <v>0</v>
      </c>
      <c r="U32">
        <v>100</v>
      </c>
      <c r="V32">
        <v>5.9223299999999997</v>
      </c>
      <c r="W32">
        <v>0.33188099999999998</v>
      </c>
      <c r="X32">
        <v>0.36574299999999998</v>
      </c>
      <c r="Y32">
        <v>0</v>
      </c>
      <c r="Z32">
        <v>0.33188099999999998</v>
      </c>
      <c r="AB32">
        <v>680.85</v>
      </c>
      <c r="AC32">
        <v>17</v>
      </c>
      <c r="AD32">
        <v>10</v>
      </c>
      <c r="AE32" t="s">
        <v>30</v>
      </c>
    </row>
    <row r="33" spans="1:31" x14ac:dyDescent="0.25">
      <c r="A33" t="s">
        <v>61</v>
      </c>
      <c r="B33">
        <v>23.3867259365</v>
      </c>
      <c r="C33">
        <v>5.9336E-2</v>
      </c>
      <c r="D33">
        <v>5.169E-2</v>
      </c>
      <c r="E33">
        <v>0.79128799999999999</v>
      </c>
      <c r="G33">
        <v>0</v>
      </c>
      <c r="H33">
        <v>0</v>
      </c>
      <c r="I33">
        <v>0</v>
      </c>
      <c r="J33">
        <v>-125.889357</v>
      </c>
      <c r="L33" t="s">
        <v>29</v>
      </c>
      <c r="M33">
        <v>318.56766599999997</v>
      </c>
      <c r="N33" t="s">
        <v>29</v>
      </c>
      <c r="O33">
        <v>1.170731</v>
      </c>
      <c r="P33">
        <f>VLOOKUP(A33,[2]METRICS!$AA$2:$AC$70,3,FALSE)</f>
        <v>871.13166782900942</v>
      </c>
      <c r="R33">
        <v>0</v>
      </c>
      <c r="S33">
        <f>VLOOKUP(A33,[2]METRICS!$AA$2:$AD$70,4,FALSE)</f>
        <v>0</v>
      </c>
      <c r="T33">
        <v>0</v>
      </c>
      <c r="U33">
        <v>96.066312999999994</v>
      </c>
      <c r="V33">
        <v>8.4102560000000004</v>
      </c>
      <c r="W33">
        <v>0.95239700000000005</v>
      </c>
      <c r="X33">
        <v>0.90668199999999999</v>
      </c>
      <c r="Y33">
        <v>0</v>
      </c>
      <c r="Z33">
        <v>0.79128799999999999</v>
      </c>
      <c r="AB33">
        <v>531.54999999999995</v>
      </c>
      <c r="AC33">
        <v>7.3</v>
      </c>
      <c r="AD33">
        <v>3</v>
      </c>
      <c r="AE33" t="s">
        <v>29</v>
      </c>
    </row>
    <row r="34" spans="1:31" x14ac:dyDescent="0.25">
      <c r="A34" t="s">
        <v>62</v>
      </c>
      <c r="B34">
        <v>21.4947777289999</v>
      </c>
      <c r="C34">
        <v>5.4770000000000001E-3</v>
      </c>
      <c r="D34">
        <v>1.1253000000000001E-2</v>
      </c>
      <c r="E34">
        <v>0.57842800000000005</v>
      </c>
      <c r="G34">
        <v>1.6861299999999999</v>
      </c>
      <c r="H34">
        <v>89.956594999999993</v>
      </c>
      <c r="I34">
        <v>1152.3041089999999</v>
      </c>
      <c r="J34">
        <v>781.00830399999995</v>
      </c>
      <c r="L34" t="s">
        <v>29</v>
      </c>
      <c r="M34">
        <v>-2698.8454830000001</v>
      </c>
      <c r="N34" t="s">
        <v>29</v>
      </c>
      <c r="O34">
        <v>3.8830000000000002E-3</v>
      </c>
      <c r="P34">
        <f>VLOOKUP(A34,[2]METRICS!$AA$2:$AC$70,3,FALSE)</f>
        <v>4886.0925761443759</v>
      </c>
      <c r="R34">
        <v>1</v>
      </c>
      <c r="S34">
        <f>VLOOKUP(A34,[2]METRICS!$AA$2:$AD$70,4,FALSE)</f>
        <v>0</v>
      </c>
      <c r="T34">
        <v>0</v>
      </c>
      <c r="U34">
        <v>25.695398999999998</v>
      </c>
      <c r="V34">
        <v>11.488372</v>
      </c>
      <c r="W34">
        <v>1.6900139999999999</v>
      </c>
      <c r="X34">
        <v>0.68626900000000002</v>
      </c>
      <c r="Y34">
        <v>0</v>
      </c>
      <c r="Z34">
        <v>0.61352099999999998</v>
      </c>
      <c r="AB34">
        <v>184.25</v>
      </c>
      <c r="AC34">
        <v>1.8</v>
      </c>
      <c r="AD34">
        <v>3</v>
      </c>
      <c r="AE34" t="s">
        <v>30</v>
      </c>
    </row>
    <row r="35" spans="1:31" x14ac:dyDescent="0.25">
      <c r="A35" t="s">
        <v>63</v>
      </c>
      <c r="B35">
        <v>56.814608672299897</v>
      </c>
      <c r="C35">
        <v>7.1421999999999999E-2</v>
      </c>
      <c r="D35">
        <v>5.5463999999999999E-2</v>
      </c>
      <c r="E35">
        <v>0.570577</v>
      </c>
      <c r="G35">
        <v>0</v>
      </c>
      <c r="H35">
        <v>0</v>
      </c>
      <c r="I35">
        <v>0</v>
      </c>
      <c r="J35">
        <v>918.70741599999997</v>
      </c>
      <c r="L35" t="s">
        <v>30</v>
      </c>
      <c r="M35">
        <v>-2395.1187749999999</v>
      </c>
      <c r="N35" t="s">
        <v>30</v>
      </c>
      <c r="O35">
        <v>0.39766400000000002</v>
      </c>
      <c r="P35">
        <f>VLOOKUP(A35,[2]METRICS!$AA$2:$AC$70,3,FALSE)</f>
        <v>30874.358947261331</v>
      </c>
      <c r="R35">
        <v>0</v>
      </c>
      <c r="S35">
        <f>VLOOKUP(A35,[2]METRICS!$AA$2:$AD$70,4,FALSE)</f>
        <v>0.23605999999999999</v>
      </c>
      <c r="T35">
        <v>0</v>
      </c>
      <c r="U35">
        <v>71.092644000000007</v>
      </c>
      <c r="V35">
        <v>10.473214</v>
      </c>
      <c r="W35">
        <v>0.79492399999999996</v>
      </c>
      <c r="X35">
        <v>0.58377999999999997</v>
      </c>
      <c r="Y35">
        <v>0</v>
      </c>
      <c r="Z35">
        <v>0.570577</v>
      </c>
      <c r="AB35">
        <v>353.2</v>
      </c>
      <c r="AC35">
        <v>1.4</v>
      </c>
      <c r="AD35">
        <v>3</v>
      </c>
      <c r="AE35" t="s">
        <v>32</v>
      </c>
    </row>
    <row r="36" spans="1:31" x14ac:dyDescent="0.25">
      <c r="A36" t="s">
        <v>64</v>
      </c>
      <c r="B36">
        <v>95.0268986208999</v>
      </c>
      <c r="C36">
        <v>1.0326999999999999E-2</v>
      </c>
      <c r="D36">
        <v>1.0540000000000001E-2</v>
      </c>
      <c r="E36">
        <v>0.93946099999999999</v>
      </c>
      <c r="G36">
        <v>1.091547</v>
      </c>
      <c r="H36">
        <v>0</v>
      </c>
      <c r="I36">
        <v>63.015563999999998</v>
      </c>
      <c r="J36">
        <v>95.649136999999996</v>
      </c>
      <c r="L36" t="s">
        <v>29</v>
      </c>
      <c r="M36">
        <v>101.601827</v>
      </c>
      <c r="N36" t="s">
        <v>29</v>
      </c>
      <c r="O36">
        <v>0</v>
      </c>
      <c r="P36">
        <f>VLOOKUP(A36,[2]METRICS!$AA$2:$AC$70,3,FALSE)</f>
        <v>378.04423712436511</v>
      </c>
      <c r="R36">
        <v>0</v>
      </c>
      <c r="S36">
        <f>VLOOKUP(A36,[2]METRICS!$AA$2:$AD$70,4,FALSE)</f>
        <v>0</v>
      </c>
      <c r="T36">
        <v>0</v>
      </c>
      <c r="U36">
        <v>89.897842999999995</v>
      </c>
      <c r="V36">
        <v>6.7734379999999996</v>
      </c>
      <c r="W36">
        <v>0.99209199999999997</v>
      </c>
      <c r="X36">
        <v>1.188877</v>
      </c>
      <c r="Y36">
        <v>0</v>
      </c>
      <c r="Z36">
        <v>0.93946099999999999</v>
      </c>
      <c r="AB36">
        <v>140.80000000000001</v>
      </c>
      <c r="AC36">
        <v>0.3</v>
      </c>
      <c r="AD36">
        <v>3</v>
      </c>
      <c r="AE36" t="s">
        <v>29</v>
      </c>
    </row>
    <row r="37" spans="1:31" x14ac:dyDescent="0.25">
      <c r="A37" t="s">
        <v>65</v>
      </c>
      <c r="B37">
        <v>44.3952689889</v>
      </c>
      <c r="C37">
        <v>3.5763999999999997E-2</v>
      </c>
      <c r="D37">
        <v>2.6816E-2</v>
      </c>
      <c r="E37">
        <v>0.48309200000000002</v>
      </c>
      <c r="G37">
        <v>0</v>
      </c>
      <c r="H37">
        <v>0</v>
      </c>
      <c r="I37">
        <v>0</v>
      </c>
      <c r="J37">
        <v>-1126.75992</v>
      </c>
      <c r="L37" t="s">
        <v>29</v>
      </c>
      <c r="M37">
        <v>-964.52913000000001</v>
      </c>
      <c r="N37" t="s">
        <v>29</v>
      </c>
      <c r="O37">
        <v>0</v>
      </c>
      <c r="P37">
        <f>VLOOKUP(A37,[2]METRICS!$AA$2:$AC$70,3,FALSE)</f>
        <v>2823.3029317782807</v>
      </c>
      <c r="R37">
        <v>0</v>
      </c>
      <c r="S37">
        <f>VLOOKUP(A37,[2]METRICS!$AA$2:$AD$70,4,FALSE)</f>
        <v>1.9461225615373265</v>
      </c>
      <c r="T37">
        <v>0</v>
      </c>
      <c r="U37">
        <v>100</v>
      </c>
      <c r="V37">
        <v>0.93333299999999997</v>
      </c>
      <c r="W37">
        <v>0.53488100000000005</v>
      </c>
      <c r="X37">
        <v>0.50085999999999997</v>
      </c>
      <c r="Y37">
        <v>0</v>
      </c>
      <c r="Z37">
        <v>0.49703000000000003</v>
      </c>
      <c r="AB37">
        <v>298.85000000000002</v>
      </c>
      <c r="AC37">
        <v>1.7</v>
      </c>
      <c r="AD37">
        <v>5</v>
      </c>
      <c r="AE37" t="s">
        <v>30</v>
      </c>
    </row>
    <row r="38" spans="1:31" x14ac:dyDescent="0.25">
      <c r="A38" t="s">
        <v>66</v>
      </c>
      <c r="B38">
        <v>42.901241016900002</v>
      </c>
      <c r="C38">
        <v>3.5325000000000002E-2</v>
      </c>
      <c r="D38">
        <v>3.2624E-2</v>
      </c>
      <c r="E38">
        <v>0.48309200000000002</v>
      </c>
      <c r="G38">
        <v>0</v>
      </c>
      <c r="H38">
        <v>0</v>
      </c>
      <c r="I38">
        <v>0</v>
      </c>
      <c r="J38">
        <v>-4.1667339999999999</v>
      </c>
      <c r="L38" t="s">
        <v>29</v>
      </c>
      <c r="M38">
        <v>73.469448</v>
      </c>
      <c r="N38" t="s">
        <v>29</v>
      </c>
      <c r="O38">
        <v>5.1799999999999997E-3</v>
      </c>
      <c r="P38">
        <f>VLOOKUP(A38,[2]METRICS!$AA$2:$AC$70,3,FALSE)</f>
        <v>2728.2907007551735</v>
      </c>
      <c r="R38">
        <v>0</v>
      </c>
      <c r="S38">
        <f>VLOOKUP(A38,[2]METRICS!$AA$2:$AD$70,4,FALSE)</f>
        <v>1.8806299626614413</v>
      </c>
      <c r="T38">
        <v>0</v>
      </c>
      <c r="U38">
        <v>98.225987000000003</v>
      </c>
      <c r="V38">
        <v>8.1545450000000006</v>
      </c>
      <c r="W38">
        <v>0.53488100000000005</v>
      </c>
      <c r="X38">
        <v>0.50085999999999997</v>
      </c>
      <c r="Y38">
        <v>0</v>
      </c>
      <c r="Z38">
        <v>0.49703000000000003</v>
      </c>
      <c r="AB38">
        <v>346.55</v>
      </c>
      <c r="AC38">
        <v>0.8</v>
      </c>
      <c r="AD38">
        <v>5</v>
      </c>
      <c r="AE38" t="s">
        <v>32</v>
      </c>
    </row>
    <row r="39" spans="1:31" x14ac:dyDescent="0.25">
      <c r="A39" t="s">
        <v>67</v>
      </c>
      <c r="B39">
        <v>20.8341330292</v>
      </c>
      <c r="C39">
        <v>1.5517E-2</v>
      </c>
      <c r="D39">
        <v>1.2022E-2</v>
      </c>
      <c r="E39">
        <v>0.48309200000000002</v>
      </c>
      <c r="G39">
        <v>1.9986539999999999</v>
      </c>
      <c r="H39">
        <v>5226.1057110000002</v>
      </c>
      <c r="I39">
        <v>462.17578900000001</v>
      </c>
      <c r="J39">
        <v>1113.5077940000001</v>
      </c>
      <c r="L39" t="s">
        <v>29</v>
      </c>
      <c r="M39">
        <v>45.227702999999998</v>
      </c>
      <c r="N39" t="s">
        <v>29</v>
      </c>
      <c r="O39">
        <v>1.3781E-2</v>
      </c>
      <c r="P39">
        <f>VLOOKUP(A39,[2]METRICS!$AA$2:$AC$70,3,FALSE)</f>
        <v>1324.9400263146488</v>
      </c>
      <c r="R39">
        <v>1</v>
      </c>
      <c r="S39">
        <f>VLOOKUP(A39,[2]METRICS!$AA$2:$AD$70,4,FALSE)</f>
        <v>0.91329047580123113</v>
      </c>
      <c r="T39">
        <v>0</v>
      </c>
      <c r="U39">
        <v>92.662163000000007</v>
      </c>
      <c r="V39">
        <v>8.3333329999999997</v>
      </c>
      <c r="W39">
        <v>0.53488100000000005</v>
      </c>
      <c r="X39">
        <v>0.50085999999999997</v>
      </c>
      <c r="Y39">
        <v>0</v>
      </c>
      <c r="Z39">
        <v>0.49703000000000003</v>
      </c>
      <c r="AB39">
        <v>255.6</v>
      </c>
      <c r="AC39">
        <v>2.6</v>
      </c>
      <c r="AD39">
        <v>5</v>
      </c>
      <c r="AE39" t="s">
        <v>29</v>
      </c>
    </row>
    <row r="40" spans="1:31" x14ac:dyDescent="0.25">
      <c r="A40" t="s">
        <v>68</v>
      </c>
      <c r="B40">
        <v>12.0349357255</v>
      </c>
      <c r="C40">
        <v>0</v>
      </c>
      <c r="D40">
        <v>0</v>
      </c>
      <c r="E40">
        <v>0.69215599999999999</v>
      </c>
      <c r="G40">
        <v>1.3808940000000001</v>
      </c>
      <c r="H40">
        <v>585.27425600000004</v>
      </c>
      <c r="I40">
        <v>402.62665399999997</v>
      </c>
      <c r="J40">
        <v>-1330.535228</v>
      </c>
      <c r="L40" t="s">
        <v>30</v>
      </c>
      <c r="M40">
        <v>-1856.3919000000001</v>
      </c>
      <c r="N40" t="s">
        <v>30</v>
      </c>
      <c r="O40">
        <v>0.116346</v>
      </c>
      <c r="P40">
        <f>VLOOKUP(A40,[2]METRICS!$AA$2:$AC$70,3,FALSE)</f>
        <v>4372.5052152945163</v>
      </c>
      <c r="R40">
        <v>1</v>
      </c>
      <c r="S40">
        <f>VLOOKUP(A40,[2]METRICS!$AA$2:$AD$70,4,FALSE)</f>
        <v>0</v>
      </c>
      <c r="T40">
        <v>0</v>
      </c>
      <c r="U40">
        <v>87.621793999999994</v>
      </c>
      <c r="V40">
        <v>14</v>
      </c>
      <c r="W40">
        <v>0.69215599999999999</v>
      </c>
      <c r="X40">
        <v>1.198796</v>
      </c>
      <c r="Y40">
        <v>0</v>
      </c>
      <c r="Z40">
        <v>0.69215599999999999</v>
      </c>
      <c r="AB40">
        <v>175.35</v>
      </c>
      <c r="AC40">
        <v>1.3</v>
      </c>
      <c r="AD40">
        <v>1</v>
      </c>
      <c r="AE40" t="s">
        <v>29</v>
      </c>
    </row>
    <row r="41" spans="1:31" x14ac:dyDescent="0.25">
      <c r="A41" t="s">
        <v>69</v>
      </c>
      <c r="B41">
        <v>16.0307517201</v>
      </c>
      <c r="C41">
        <v>0</v>
      </c>
      <c r="D41">
        <v>0</v>
      </c>
      <c r="E41">
        <v>8.9493919999999996</v>
      </c>
      <c r="G41">
        <v>0</v>
      </c>
      <c r="H41">
        <v>0</v>
      </c>
      <c r="I41">
        <v>0</v>
      </c>
      <c r="J41">
        <v>0</v>
      </c>
      <c r="L41" t="s">
        <v>30</v>
      </c>
      <c r="M41">
        <v>0</v>
      </c>
      <c r="N41" t="s">
        <v>30</v>
      </c>
      <c r="O41">
        <v>0</v>
      </c>
      <c r="P41">
        <f>VLOOKUP(A41,[2]METRICS!$AA$2:$AC$70,3,FALSE)</f>
        <v>15277.42687762626</v>
      </c>
      <c r="R41">
        <v>0</v>
      </c>
      <c r="S41">
        <f>VLOOKUP(A41,[2]METRICS!$AA$2:$AD$70,4,FALSE)</f>
        <v>0</v>
      </c>
      <c r="T41">
        <v>0</v>
      </c>
      <c r="U41">
        <v>0</v>
      </c>
      <c r="V41">
        <v>0</v>
      </c>
      <c r="W41">
        <v>8.9493919999999996</v>
      </c>
      <c r="X41">
        <v>8.9493919999999996</v>
      </c>
      <c r="Y41">
        <v>0</v>
      </c>
      <c r="Z41">
        <v>8.9493919999999996</v>
      </c>
      <c r="AB41">
        <v>312.7</v>
      </c>
      <c r="AC41">
        <v>2.5</v>
      </c>
      <c r="AD41">
        <v>0</v>
      </c>
      <c r="AE41" t="s">
        <v>29</v>
      </c>
    </row>
    <row r="42" spans="1:31" x14ac:dyDescent="0.25">
      <c r="A42" t="s">
        <v>70</v>
      </c>
      <c r="B42">
        <v>6.5691873898299997</v>
      </c>
      <c r="C42">
        <v>0</v>
      </c>
      <c r="D42">
        <v>0</v>
      </c>
      <c r="E42">
        <v>0.71293899999999999</v>
      </c>
      <c r="G42">
        <v>0</v>
      </c>
      <c r="H42">
        <v>0</v>
      </c>
      <c r="I42">
        <v>0</v>
      </c>
      <c r="J42">
        <v>0</v>
      </c>
      <c r="L42" t="s">
        <v>30</v>
      </c>
      <c r="M42">
        <v>0</v>
      </c>
      <c r="N42" t="s">
        <v>30</v>
      </c>
      <c r="O42">
        <v>13.121941</v>
      </c>
      <c r="P42">
        <f>VLOOKUP(A42,[2]METRICS!$AA$2:$AC$70,3,FALSE)</f>
        <v>112407.36715083089</v>
      </c>
      <c r="R42">
        <v>0</v>
      </c>
      <c r="S42">
        <f>VLOOKUP(A42,[2]METRICS!$AA$2:$AD$70,4,FALSE)</f>
        <v>0</v>
      </c>
      <c r="T42">
        <v>1</v>
      </c>
      <c r="U42">
        <v>0</v>
      </c>
      <c r="V42">
        <v>0</v>
      </c>
      <c r="W42">
        <v>0.32625599999999999</v>
      </c>
      <c r="X42">
        <v>0.72972400000000004</v>
      </c>
      <c r="Y42">
        <v>0</v>
      </c>
      <c r="Z42">
        <v>0.71293899999999999</v>
      </c>
      <c r="AB42">
        <v>118.3</v>
      </c>
      <c r="AC42">
        <v>3.2</v>
      </c>
      <c r="AD42">
        <v>0</v>
      </c>
      <c r="AE42" t="s">
        <v>29</v>
      </c>
    </row>
    <row r="43" spans="1:31" x14ac:dyDescent="0.25">
      <c r="A43" t="s">
        <v>71</v>
      </c>
      <c r="B43">
        <v>21.489188390100001</v>
      </c>
      <c r="C43">
        <v>0</v>
      </c>
      <c r="D43">
        <v>0</v>
      </c>
      <c r="E43">
        <v>0.71293899999999999</v>
      </c>
      <c r="G43">
        <v>1.8408370000000001</v>
      </c>
      <c r="H43">
        <v>2087.6271310000002</v>
      </c>
      <c r="I43">
        <v>925.32203300000003</v>
      </c>
      <c r="J43">
        <v>-674.50066300000003</v>
      </c>
      <c r="L43" t="s">
        <v>30</v>
      </c>
      <c r="M43">
        <v>-664.87452599999995</v>
      </c>
      <c r="N43" t="s">
        <v>30</v>
      </c>
      <c r="O43">
        <v>1.8995000000000001E-2</v>
      </c>
      <c r="P43">
        <f>VLOOKUP(A43,[2]METRICS!$AA$2:$AC$70,3,FALSE)</f>
        <v>548969.29255157174</v>
      </c>
      <c r="R43">
        <v>1</v>
      </c>
      <c r="S43">
        <f>VLOOKUP(A43,[2]METRICS!$AA$2:$AD$70,4,FALSE)</f>
        <v>0</v>
      </c>
      <c r="T43">
        <v>1</v>
      </c>
      <c r="U43">
        <v>93.391554999999997</v>
      </c>
      <c r="V43">
        <v>8.3636359999999996</v>
      </c>
      <c r="W43">
        <v>0.32625599999999999</v>
      </c>
      <c r="X43">
        <v>0.72972400000000004</v>
      </c>
      <c r="Y43">
        <v>0</v>
      </c>
      <c r="Z43">
        <v>0.71293899999999999</v>
      </c>
      <c r="AB43">
        <v>118.1</v>
      </c>
      <c r="AC43">
        <v>3.1</v>
      </c>
      <c r="AD43">
        <v>0</v>
      </c>
      <c r="AE43" t="s">
        <v>29</v>
      </c>
    </row>
    <row r="44" spans="1:31" x14ac:dyDescent="0.25">
      <c r="A44" t="s">
        <v>72</v>
      </c>
      <c r="B44">
        <v>97.960131788799899</v>
      </c>
      <c r="C44">
        <v>2.9946E-2</v>
      </c>
      <c r="D44">
        <v>3.2634999999999997E-2</v>
      </c>
      <c r="E44">
        <v>0.43046499999999999</v>
      </c>
      <c r="G44">
        <v>2.0408149999999998</v>
      </c>
      <c r="H44">
        <v>59963.848104999997</v>
      </c>
      <c r="I44">
        <v>1228.7386919999999</v>
      </c>
      <c r="J44">
        <v>905.39436799999999</v>
      </c>
      <c r="L44" t="s">
        <v>29</v>
      </c>
      <c r="M44">
        <v>-2112.819493</v>
      </c>
      <c r="N44" t="s">
        <v>29</v>
      </c>
      <c r="O44">
        <v>9.1172000000000003E-2</v>
      </c>
      <c r="P44">
        <f>VLOOKUP(A44,[2]METRICS!$AA$2:$AC$70,3,FALSE)</f>
        <v>116692.90850510291</v>
      </c>
      <c r="R44">
        <v>1</v>
      </c>
      <c r="S44">
        <f>VLOOKUP(A44,[2]METRICS!$AA$2:$AD$70,4,FALSE)</f>
        <v>0.88504700000000003</v>
      </c>
      <c r="T44">
        <v>0</v>
      </c>
      <c r="U44">
        <v>69.807083000000006</v>
      </c>
      <c r="V44">
        <v>8.3115380000000005</v>
      </c>
      <c r="W44">
        <v>0.54863700000000004</v>
      </c>
      <c r="X44">
        <v>0.44944000000000001</v>
      </c>
      <c r="Y44">
        <v>1</v>
      </c>
      <c r="Z44">
        <v>0.43046499999999999</v>
      </c>
      <c r="AB44">
        <v>487.85</v>
      </c>
      <c r="AC44">
        <v>5.2</v>
      </c>
      <c r="AD44">
        <v>8</v>
      </c>
      <c r="AE44" t="s">
        <v>29</v>
      </c>
    </row>
    <row r="45" spans="1:31" x14ac:dyDescent="0.25">
      <c r="A45" t="s">
        <v>73</v>
      </c>
      <c r="B45">
        <v>107.274382185999</v>
      </c>
      <c r="C45">
        <v>4.7677999999999998E-2</v>
      </c>
      <c r="D45">
        <v>5.7737999999999998E-2</v>
      </c>
      <c r="E45">
        <v>0.48027199999999998</v>
      </c>
      <c r="G45">
        <v>1.2594050000000001</v>
      </c>
      <c r="H45">
        <v>573.70345899999995</v>
      </c>
      <c r="I45">
        <v>271.25698999999997</v>
      </c>
      <c r="J45">
        <v>9423.8578440000001</v>
      </c>
      <c r="L45" t="s">
        <v>30</v>
      </c>
      <c r="M45">
        <v>13796.895316</v>
      </c>
      <c r="N45" t="s">
        <v>30</v>
      </c>
      <c r="O45">
        <v>5.5439000000000002E-2</v>
      </c>
      <c r="P45">
        <f>VLOOKUP(A45,[2]METRICS!$AA$2:$AC$70,3,FALSE)</f>
        <v>8607.5213936589462</v>
      </c>
      <c r="R45">
        <v>1</v>
      </c>
      <c r="S45">
        <f>VLOOKUP(A45,[2]METRICS!$AA$2:$AD$70,4,FALSE)</f>
        <v>0.23055400000000001</v>
      </c>
      <c r="T45">
        <v>1</v>
      </c>
      <c r="U45">
        <v>67.213716000000005</v>
      </c>
      <c r="V45">
        <v>9.4664029999999997</v>
      </c>
      <c r="W45">
        <v>0.61146400000000001</v>
      </c>
      <c r="X45">
        <v>0.48892099999999999</v>
      </c>
      <c r="Y45">
        <v>0</v>
      </c>
      <c r="Z45">
        <v>0.481381</v>
      </c>
      <c r="AB45">
        <v>448.5</v>
      </c>
      <c r="AC45">
        <v>7.2</v>
      </c>
      <c r="AD45">
        <v>6</v>
      </c>
      <c r="AE45" t="s">
        <v>30</v>
      </c>
    </row>
    <row r="46" spans="1:31" x14ac:dyDescent="0.25">
      <c r="A46" t="s">
        <v>74</v>
      </c>
      <c r="B46">
        <v>114.62000684900001</v>
      </c>
      <c r="C46">
        <v>2.6710999999999999E-2</v>
      </c>
      <c r="D46">
        <v>5.5671999999999999E-2</v>
      </c>
      <c r="E46">
        <v>0.81845199999999996</v>
      </c>
      <c r="G46">
        <v>1.620733</v>
      </c>
      <c r="H46">
        <v>3069.5858320000002</v>
      </c>
      <c r="I46">
        <v>355.23750799999999</v>
      </c>
      <c r="J46">
        <v>-46.616656999999996</v>
      </c>
      <c r="L46" t="s">
        <v>29</v>
      </c>
      <c r="M46">
        <v>6149.8409410000004</v>
      </c>
      <c r="N46" t="s">
        <v>29</v>
      </c>
      <c r="O46">
        <v>1.3141929999999999</v>
      </c>
      <c r="P46">
        <f>VLOOKUP(A46,[2]METRICS!$AA$2:$AC$70,3,FALSE)</f>
        <v>2436891.300013497</v>
      </c>
      <c r="R46">
        <v>0</v>
      </c>
      <c r="S46">
        <f>VLOOKUP(A46,[2]METRICS!$AA$2:$AD$70,4,FALSE)</f>
        <v>4.6974629999999999</v>
      </c>
      <c r="T46">
        <v>1</v>
      </c>
      <c r="U46">
        <v>56.642718000000002</v>
      </c>
      <c r="V46">
        <v>11.385057</v>
      </c>
      <c r="W46">
        <v>1.2063219999999999</v>
      </c>
      <c r="X46">
        <v>0.79536499999999999</v>
      </c>
      <c r="Y46">
        <v>0</v>
      </c>
      <c r="Z46">
        <v>0.79545600000000005</v>
      </c>
      <c r="AB46">
        <v>276.14999999999998</v>
      </c>
      <c r="AC46">
        <v>16.3</v>
      </c>
      <c r="AD46">
        <v>8</v>
      </c>
      <c r="AE46" t="s">
        <v>32</v>
      </c>
    </row>
    <row r="47" spans="1:31" x14ac:dyDescent="0.25">
      <c r="A47" t="s">
        <v>75</v>
      </c>
      <c r="B47">
        <v>34.463288233299899</v>
      </c>
      <c r="C47">
        <v>1.5876999999999999E-2</v>
      </c>
      <c r="D47">
        <v>1.6199000000000002E-2</v>
      </c>
      <c r="E47">
        <v>0.28928900000000002</v>
      </c>
      <c r="G47">
        <v>2.9408590000000001</v>
      </c>
      <c r="H47">
        <v>397.42720000000003</v>
      </c>
      <c r="I47">
        <v>100.150047</v>
      </c>
      <c r="J47">
        <v>151.079363</v>
      </c>
      <c r="L47" t="s">
        <v>29</v>
      </c>
      <c r="M47">
        <v>1399.4462000000001</v>
      </c>
      <c r="N47" t="s">
        <v>29</v>
      </c>
      <c r="O47">
        <v>1.454088</v>
      </c>
      <c r="P47">
        <f>VLOOKUP(A47,[2]METRICS!$AA$2:$AC$70,3,FALSE)</f>
        <v>14798.043466650141</v>
      </c>
      <c r="R47">
        <v>1</v>
      </c>
      <c r="S47">
        <f>VLOOKUP(A47,[2]METRICS!$AA$2:$AD$70,4,FALSE)</f>
        <v>2.1683949999999999</v>
      </c>
      <c r="T47">
        <v>0</v>
      </c>
      <c r="U47">
        <v>54.104570000000002</v>
      </c>
      <c r="V47">
        <v>7.3472910000000002</v>
      </c>
      <c r="W47">
        <v>0.44280000000000003</v>
      </c>
      <c r="X47">
        <v>0.32598700000000003</v>
      </c>
      <c r="Y47">
        <v>0</v>
      </c>
      <c r="Z47">
        <v>0.28928900000000002</v>
      </c>
      <c r="AB47">
        <v>336.5</v>
      </c>
      <c r="AC47">
        <v>2.9</v>
      </c>
      <c r="AD47">
        <v>4</v>
      </c>
      <c r="AE47" t="s">
        <v>29</v>
      </c>
    </row>
    <row r="48" spans="1:31" x14ac:dyDescent="0.25">
      <c r="A48" t="s">
        <v>76</v>
      </c>
      <c r="B48">
        <v>168.085317269</v>
      </c>
      <c r="C48">
        <v>2.1673000000000001E-2</v>
      </c>
      <c r="D48">
        <v>2.5305000000000001E-2</v>
      </c>
      <c r="E48">
        <v>0.48166999999999999</v>
      </c>
      <c r="G48">
        <v>1.9023060000000001</v>
      </c>
      <c r="H48">
        <v>2144.1129219999998</v>
      </c>
      <c r="I48">
        <v>206.50758500000001</v>
      </c>
      <c r="J48">
        <v>-116.524934</v>
      </c>
      <c r="L48" t="s">
        <v>29</v>
      </c>
      <c r="M48">
        <v>950.64439500000003</v>
      </c>
      <c r="N48" t="s">
        <v>29</v>
      </c>
      <c r="O48">
        <v>0.67535000000000001</v>
      </c>
      <c r="P48">
        <f>VLOOKUP(A48,[2]METRICS!$AA$2:$AC$70,3,FALSE)</f>
        <v>3745.3420374828488</v>
      </c>
      <c r="R48">
        <v>0</v>
      </c>
      <c r="S48">
        <f>VLOOKUP(A48,[2]METRICS!$AA$2:$AD$70,4,FALSE)</f>
        <v>2.2199800000000001</v>
      </c>
      <c r="T48">
        <v>0</v>
      </c>
      <c r="U48">
        <v>85.035593000000006</v>
      </c>
      <c r="V48">
        <v>7.3913039999999999</v>
      </c>
      <c r="W48">
        <v>0.57992999999999995</v>
      </c>
      <c r="X48">
        <v>0.50002000000000002</v>
      </c>
      <c r="Y48">
        <v>1</v>
      </c>
      <c r="Z48">
        <v>0.48166999999999999</v>
      </c>
      <c r="AB48">
        <v>156.65</v>
      </c>
      <c r="AC48">
        <v>2.2999999999999998</v>
      </c>
      <c r="AD48">
        <v>2</v>
      </c>
      <c r="AE48" t="s">
        <v>32</v>
      </c>
    </row>
    <row r="49" spans="1:31" x14ac:dyDescent="0.25">
      <c r="A49" t="s">
        <v>77</v>
      </c>
      <c r="B49">
        <v>108.143126791</v>
      </c>
      <c r="C49">
        <v>0.123685</v>
      </c>
      <c r="D49">
        <v>0.10374</v>
      </c>
      <c r="E49">
        <v>0.47601399999999999</v>
      </c>
      <c r="G49">
        <v>1.5714889999999999</v>
      </c>
      <c r="H49">
        <v>6212.3092779999997</v>
      </c>
      <c r="I49">
        <v>732.05425400000001</v>
      </c>
      <c r="J49">
        <v>3061.274034</v>
      </c>
      <c r="L49" t="s">
        <v>32</v>
      </c>
      <c r="M49">
        <v>2166.3849909999999</v>
      </c>
      <c r="N49" t="s">
        <v>32</v>
      </c>
      <c r="O49">
        <v>0.58414299999999997</v>
      </c>
      <c r="P49">
        <f>VLOOKUP(A49,[2]METRICS!$AA$2:$AC$70,3,FALSE)</f>
        <v>17154.960856331476</v>
      </c>
      <c r="R49">
        <v>1</v>
      </c>
      <c r="S49">
        <f>VLOOKUP(A49,[2]METRICS!$AA$2:$AD$70,4,FALSE)</f>
        <v>6.3847757096812821</v>
      </c>
      <c r="T49">
        <v>1</v>
      </c>
      <c r="U49">
        <v>88.159749000000005</v>
      </c>
      <c r="V49">
        <v>10.52819</v>
      </c>
      <c r="W49">
        <v>0.54386199999999996</v>
      </c>
      <c r="X49">
        <v>0.48821300000000001</v>
      </c>
      <c r="Y49">
        <v>0</v>
      </c>
      <c r="Z49">
        <v>0.47292099999999998</v>
      </c>
      <c r="AB49">
        <v>533.04999999999995</v>
      </c>
      <c r="AC49">
        <v>6.9</v>
      </c>
      <c r="AD49">
        <v>2</v>
      </c>
      <c r="AE49" t="s">
        <v>32</v>
      </c>
    </row>
    <row r="50" spans="1:31" x14ac:dyDescent="0.25">
      <c r="A50" t="s">
        <v>78</v>
      </c>
      <c r="B50">
        <v>32.8099010761999</v>
      </c>
      <c r="C50">
        <v>3.9071000000000002E-2</v>
      </c>
      <c r="D50">
        <v>4.6568999999999999E-2</v>
      </c>
      <c r="E50">
        <v>0.31524600000000003</v>
      </c>
      <c r="G50">
        <v>1.8571040000000001</v>
      </c>
      <c r="H50">
        <v>648.96084299999995</v>
      </c>
      <c r="I50">
        <v>1325.9280140000001</v>
      </c>
      <c r="J50">
        <v>-1732.8361159999999</v>
      </c>
      <c r="L50" t="s">
        <v>30</v>
      </c>
      <c r="M50">
        <v>-2027.2520099999999</v>
      </c>
      <c r="N50" t="s">
        <v>30</v>
      </c>
      <c r="O50">
        <v>4.46E-4</v>
      </c>
      <c r="P50">
        <f>VLOOKUP(A50,[2]METRICS!$AA$2:$AC$70,3,FALSE)</f>
        <v>5204.7003389323081</v>
      </c>
      <c r="R50">
        <v>0</v>
      </c>
      <c r="S50">
        <f>VLOOKUP(A50,[2]METRICS!$AA$2:$AD$70,4,FALSE)</f>
        <v>1.9370982293976058</v>
      </c>
      <c r="T50">
        <v>1</v>
      </c>
      <c r="U50">
        <v>100</v>
      </c>
      <c r="V50">
        <v>9</v>
      </c>
      <c r="W50">
        <v>0.35934100000000002</v>
      </c>
      <c r="X50">
        <v>0.31738499999999997</v>
      </c>
      <c r="Y50">
        <v>0</v>
      </c>
      <c r="Z50">
        <v>0.357628</v>
      </c>
      <c r="AB50">
        <v>226.6</v>
      </c>
      <c r="AC50">
        <v>1.9</v>
      </c>
      <c r="AD50">
        <v>3</v>
      </c>
      <c r="AE50" t="s">
        <v>30</v>
      </c>
    </row>
    <row r="51" spans="1:31" x14ac:dyDescent="0.25">
      <c r="A51" t="s">
        <v>79</v>
      </c>
      <c r="B51">
        <v>190.605222900999</v>
      </c>
      <c r="C51">
        <v>5.8363999999999999E-2</v>
      </c>
      <c r="D51">
        <v>9.8137000000000002E-2</v>
      </c>
      <c r="E51">
        <v>0.45360800000000001</v>
      </c>
      <c r="G51">
        <v>1.590433</v>
      </c>
      <c r="H51">
        <v>1894.0990609999999</v>
      </c>
      <c r="I51">
        <v>516.40355799999998</v>
      </c>
      <c r="J51">
        <v>-577.12635699999998</v>
      </c>
      <c r="L51" t="s">
        <v>30</v>
      </c>
      <c r="M51">
        <v>-128.71764300000001</v>
      </c>
      <c r="N51" t="s">
        <v>30</v>
      </c>
      <c r="O51">
        <v>0.12124799999999999</v>
      </c>
      <c r="P51">
        <f>VLOOKUP(A51,[2]METRICS!$AA$2:$AC$70,3,FALSE)</f>
        <v>30236.088366469339</v>
      </c>
      <c r="R51">
        <v>0</v>
      </c>
      <c r="S51">
        <f>VLOOKUP(A51,[2]METRICS!$AA$2:$AD$70,4,FALSE)</f>
        <v>11.25334206092111</v>
      </c>
      <c r="T51">
        <v>1</v>
      </c>
      <c r="U51">
        <v>24.549339</v>
      </c>
      <c r="V51">
        <v>7.6852999999999998</v>
      </c>
      <c r="W51">
        <v>0.49956200000000001</v>
      </c>
      <c r="X51">
        <v>0.51908600000000005</v>
      </c>
      <c r="Y51">
        <v>0</v>
      </c>
      <c r="Z51">
        <v>0.45360800000000001</v>
      </c>
      <c r="AB51">
        <v>601.54999999999995</v>
      </c>
      <c r="AC51">
        <v>13.1</v>
      </c>
      <c r="AD51">
        <v>10</v>
      </c>
      <c r="AE51" t="s">
        <v>29</v>
      </c>
    </row>
    <row r="52" spans="1:31" x14ac:dyDescent="0.25">
      <c r="A52" t="s">
        <v>80</v>
      </c>
      <c r="B52">
        <v>206.581413717</v>
      </c>
      <c r="C52">
        <v>7.2361999999999996E-2</v>
      </c>
      <c r="D52">
        <v>7.6503000000000002E-2</v>
      </c>
      <c r="E52">
        <v>0.34640399999999999</v>
      </c>
      <c r="G52">
        <v>1.3569599999999999</v>
      </c>
      <c r="H52">
        <v>4886.8723719999998</v>
      </c>
      <c r="I52">
        <v>452.00626799999998</v>
      </c>
      <c r="J52">
        <v>532.62539500000003</v>
      </c>
      <c r="L52" t="s">
        <v>32</v>
      </c>
      <c r="M52">
        <v>1041.8165759999999</v>
      </c>
      <c r="N52" t="s">
        <v>32</v>
      </c>
      <c r="O52">
        <v>0.81953799999999999</v>
      </c>
      <c r="P52">
        <f>VLOOKUP(A52,[2]METRICS!$AA$2:$AC$70,3,FALSE)</f>
        <v>41987.057311968048</v>
      </c>
      <c r="R52">
        <v>1</v>
      </c>
      <c r="S52">
        <f>VLOOKUP(A52,[2]METRICS!$AA$2:$AD$70,4,FALSE)</f>
        <v>4.0078476404312759</v>
      </c>
      <c r="T52">
        <v>0</v>
      </c>
      <c r="U52">
        <v>28.862358</v>
      </c>
      <c r="V52">
        <v>7.714493</v>
      </c>
      <c r="W52">
        <v>0.39151200000000003</v>
      </c>
      <c r="X52">
        <v>0.365398</v>
      </c>
      <c r="Y52">
        <v>1</v>
      </c>
      <c r="Z52">
        <v>0.357346</v>
      </c>
      <c r="AB52">
        <v>654</v>
      </c>
      <c r="AC52">
        <v>7</v>
      </c>
      <c r="AD52">
        <v>7</v>
      </c>
      <c r="AE52" t="s">
        <v>29</v>
      </c>
    </row>
    <row r="53" spans="1:31" x14ac:dyDescent="0.25">
      <c r="A53" t="s">
        <v>81</v>
      </c>
      <c r="B53">
        <v>195.19672245000001</v>
      </c>
      <c r="C53">
        <v>7.6379999999999998E-3</v>
      </c>
      <c r="D53">
        <v>4.5890000000000002E-3</v>
      </c>
      <c r="E53">
        <v>0.42138799999999998</v>
      </c>
      <c r="G53">
        <v>1.8643529999999999</v>
      </c>
      <c r="H53">
        <v>285.12941799999999</v>
      </c>
      <c r="I53">
        <v>99.844666000000004</v>
      </c>
      <c r="J53">
        <v>-120.112859</v>
      </c>
      <c r="L53" t="s">
        <v>29</v>
      </c>
      <c r="M53">
        <v>941.082899</v>
      </c>
      <c r="N53" t="s">
        <v>29</v>
      </c>
      <c r="O53">
        <v>1.4285479999999999</v>
      </c>
      <c r="P53">
        <f>VLOOKUP(A53,[2]METRICS!$AA$2:$AC$70,3,FALSE)</f>
        <v>39673.152706002737</v>
      </c>
      <c r="R53">
        <v>0</v>
      </c>
      <c r="S53">
        <f>VLOOKUP(A53,[2]METRICS!$AA$2:$AD$70,4,FALSE)</f>
        <v>3.7869753595687232</v>
      </c>
      <c r="T53">
        <v>0</v>
      </c>
      <c r="U53">
        <v>85.831629000000007</v>
      </c>
      <c r="V53">
        <v>8.3712689999999998</v>
      </c>
      <c r="W53">
        <v>0.482514</v>
      </c>
      <c r="X53">
        <v>0.43983</v>
      </c>
      <c r="Y53">
        <v>1</v>
      </c>
      <c r="Z53">
        <v>0.42138799999999998</v>
      </c>
      <c r="AB53">
        <v>258.8</v>
      </c>
      <c r="AC53">
        <v>3.8</v>
      </c>
      <c r="AD53">
        <v>9</v>
      </c>
      <c r="AE53" t="s">
        <v>29</v>
      </c>
    </row>
    <row r="54" spans="1:31" x14ac:dyDescent="0.25">
      <c r="A54" t="s">
        <v>82</v>
      </c>
      <c r="B54">
        <v>122.665972260999</v>
      </c>
      <c r="C54">
        <v>1.6702999999999999E-2</v>
      </c>
      <c r="D54">
        <v>1.8398999999999999E-2</v>
      </c>
      <c r="E54">
        <v>0.79814399999999996</v>
      </c>
      <c r="G54">
        <v>1.645338</v>
      </c>
      <c r="H54">
        <v>756.64651300000003</v>
      </c>
      <c r="I54">
        <v>1108.3358009999999</v>
      </c>
      <c r="J54">
        <v>32.845177999999997</v>
      </c>
      <c r="L54" t="s">
        <v>29</v>
      </c>
      <c r="M54">
        <v>3557.2645950000001</v>
      </c>
      <c r="N54" t="s">
        <v>29</v>
      </c>
      <c r="O54">
        <v>0</v>
      </c>
      <c r="P54">
        <f>VLOOKUP(A54,[2]METRICS!$AA$2:$AC$70,3,FALSE)</f>
        <v>2517.1497562360491</v>
      </c>
      <c r="R54">
        <v>0</v>
      </c>
      <c r="S54">
        <f>VLOOKUP(A54,[2]METRICS!$AA$2:$AD$70,4,FALSE)</f>
        <v>4.4820149999999996</v>
      </c>
      <c r="T54">
        <v>0</v>
      </c>
      <c r="U54">
        <v>96.567592000000005</v>
      </c>
      <c r="V54">
        <v>6.9832400000000003</v>
      </c>
      <c r="W54">
        <v>0.81221699999999997</v>
      </c>
      <c r="X54">
        <v>0.86414000000000002</v>
      </c>
      <c r="Y54">
        <v>0</v>
      </c>
      <c r="Z54">
        <v>0.79814399999999996</v>
      </c>
      <c r="AB54">
        <v>224.8</v>
      </c>
      <c r="AC54">
        <v>1.4</v>
      </c>
      <c r="AD54">
        <v>4</v>
      </c>
      <c r="AE54" t="s">
        <v>32</v>
      </c>
    </row>
    <row r="55" spans="1:31" x14ac:dyDescent="0.25">
      <c r="A55" t="s">
        <v>83</v>
      </c>
      <c r="B55">
        <v>123.780828525</v>
      </c>
      <c r="C55">
        <v>3.9409E-2</v>
      </c>
      <c r="D55">
        <v>4.5464999999999998E-2</v>
      </c>
      <c r="E55">
        <v>0.44612800000000002</v>
      </c>
      <c r="G55">
        <v>1.578946</v>
      </c>
      <c r="H55">
        <v>476.06241299999999</v>
      </c>
      <c r="I55">
        <v>134.98706799999999</v>
      </c>
      <c r="J55">
        <v>1336.3625549999999</v>
      </c>
      <c r="L55" t="s">
        <v>30</v>
      </c>
      <c r="M55">
        <v>-181.122455</v>
      </c>
      <c r="N55" t="s">
        <v>30</v>
      </c>
      <c r="O55">
        <v>0.13694200000000001</v>
      </c>
      <c r="P55">
        <f>VLOOKUP(A55,[2]METRICS!$AA$2:$AC$70,3,FALSE)</f>
        <v>30853.02252124334</v>
      </c>
      <c r="R55">
        <v>1</v>
      </c>
      <c r="S55">
        <f>VLOOKUP(A55,[2]METRICS!$AA$2:$AD$70,4,FALSE)</f>
        <v>2.3370305956571729</v>
      </c>
      <c r="T55">
        <v>0</v>
      </c>
      <c r="U55">
        <v>80.662585000000007</v>
      </c>
      <c r="V55">
        <v>6.9117649999999999</v>
      </c>
      <c r="W55">
        <v>0.48824099999999998</v>
      </c>
      <c r="X55">
        <v>0.48007300000000003</v>
      </c>
      <c r="Y55">
        <v>0</v>
      </c>
      <c r="Z55">
        <v>0.44786300000000001</v>
      </c>
      <c r="AB55">
        <v>228.45</v>
      </c>
      <c r="AC55">
        <v>1.3</v>
      </c>
      <c r="AD55">
        <v>3</v>
      </c>
      <c r="AE55" t="s">
        <v>29</v>
      </c>
    </row>
    <row r="56" spans="1:31" x14ac:dyDescent="0.25">
      <c r="A56" t="s">
        <v>84</v>
      </c>
      <c r="B56">
        <v>96.577199252</v>
      </c>
      <c r="C56">
        <v>5.9596999999999997E-2</v>
      </c>
      <c r="D56">
        <v>4.2397999999999998E-2</v>
      </c>
      <c r="E56">
        <v>0.44612800000000002</v>
      </c>
      <c r="G56">
        <v>1.511663</v>
      </c>
      <c r="H56">
        <v>3732.3383429999999</v>
      </c>
      <c r="I56">
        <v>630.48683900000003</v>
      </c>
      <c r="J56">
        <v>-1126.97855</v>
      </c>
      <c r="L56" t="s">
        <v>30</v>
      </c>
      <c r="M56">
        <v>19.199677000000001</v>
      </c>
      <c r="N56" t="s">
        <v>30</v>
      </c>
      <c r="O56">
        <v>0.68248600000000004</v>
      </c>
      <c r="P56">
        <f>VLOOKUP(A56,[2]METRICS!$AA$2:$AC$70,3,FALSE)</f>
        <v>24072.374850510489</v>
      </c>
      <c r="R56">
        <v>1</v>
      </c>
      <c r="S56">
        <f>VLOOKUP(A56,[2]METRICS!$AA$2:$AD$70,4,FALSE)</f>
        <v>1.8234154043428272</v>
      </c>
      <c r="T56">
        <v>0</v>
      </c>
      <c r="U56">
        <v>80.129569000000004</v>
      </c>
      <c r="V56">
        <v>6.7715360000000002</v>
      </c>
      <c r="W56">
        <v>0.48824099999999998</v>
      </c>
      <c r="X56">
        <v>0.48007300000000003</v>
      </c>
      <c r="Y56">
        <v>0</v>
      </c>
      <c r="Z56">
        <v>0.44786300000000001</v>
      </c>
      <c r="AB56">
        <v>333.1</v>
      </c>
      <c r="AC56">
        <v>5.7</v>
      </c>
      <c r="AD56">
        <v>7</v>
      </c>
      <c r="AE56" t="s">
        <v>29</v>
      </c>
    </row>
    <row r="57" spans="1:31" x14ac:dyDescent="0.25">
      <c r="A57" t="s">
        <v>85</v>
      </c>
      <c r="B57">
        <v>169.551014127</v>
      </c>
      <c r="C57">
        <v>1.3072E-2</v>
      </c>
      <c r="D57">
        <v>1.2234999999999999E-2</v>
      </c>
      <c r="E57">
        <v>0.68210599999999999</v>
      </c>
      <c r="G57">
        <v>1.3469530000000001</v>
      </c>
      <c r="H57">
        <v>1327.862085</v>
      </c>
      <c r="I57">
        <v>607.89157299999999</v>
      </c>
      <c r="J57">
        <v>1051.204886</v>
      </c>
      <c r="L57" t="s">
        <v>32</v>
      </c>
      <c r="M57">
        <v>-146.823635</v>
      </c>
      <c r="N57" t="s">
        <v>32</v>
      </c>
      <c r="O57">
        <v>4.0119999999999999E-3</v>
      </c>
      <c r="P57">
        <f>VLOOKUP(A57,[2]METRICS!$AA$2:$AC$70,3,FALSE)</f>
        <v>38818.804171956632</v>
      </c>
      <c r="R57">
        <v>1</v>
      </c>
      <c r="S57">
        <f>VLOOKUP(A57,[2]METRICS!$AA$2:$AD$70,4,FALSE)</f>
        <v>10.17557</v>
      </c>
      <c r="T57">
        <v>0</v>
      </c>
      <c r="U57">
        <v>78.612932000000001</v>
      </c>
      <c r="V57">
        <v>6.5677969999999997</v>
      </c>
      <c r="W57">
        <v>0.710117</v>
      </c>
      <c r="X57">
        <v>0.58574599999999999</v>
      </c>
      <c r="Y57">
        <v>0</v>
      </c>
      <c r="Z57">
        <v>0.56187799999999999</v>
      </c>
      <c r="AB57">
        <v>136.15</v>
      </c>
      <c r="AC57">
        <v>6</v>
      </c>
      <c r="AD57">
        <v>6</v>
      </c>
      <c r="AE57" t="s">
        <v>32</v>
      </c>
    </row>
    <row r="58" spans="1:31" x14ac:dyDescent="0.25">
      <c r="A58" t="s">
        <v>86</v>
      </c>
      <c r="B58">
        <v>97.141262682700003</v>
      </c>
      <c r="C58">
        <v>5.7407E-2</v>
      </c>
      <c r="D58">
        <v>6.9119E-2</v>
      </c>
      <c r="E58">
        <v>0.751745</v>
      </c>
      <c r="G58">
        <v>2.1254490000000001</v>
      </c>
      <c r="H58">
        <v>2391.8473290000002</v>
      </c>
      <c r="I58">
        <v>1210.894988</v>
      </c>
      <c r="J58">
        <v>742.34004600000003</v>
      </c>
      <c r="L58" t="s">
        <v>32</v>
      </c>
      <c r="M58">
        <v>-45.359434999999998</v>
      </c>
      <c r="N58" t="s">
        <v>32</v>
      </c>
      <c r="O58">
        <v>3.0460000000000001E-3</v>
      </c>
      <c r="P58">
        <f>VLOOKUP(A58,[2]METRICS!$AA$2:$AC$70,3,FALSE)</f>
        <v>9416.6644037723836</v>
      </c>
      <c r="R58">
        <v>1</v>
      </c>
      <c r="S58">
        <f>VLOOKUP(A58,[2]METRICS!$AA$2:$AD$70,4,FALSE)</f>
        <v>2.6114850000000001</v>
      </c>
      <c r="T58">
        <v>0</v>
      </c>
      <c r="U58">
        <v>62.757091000000003</v>
      </c>
      <c r="V58">
        <v>9.2847679999999997</v>
      </c>
      <c r="W58">
        <v>0.80998999999999999</v>
      </c>
      <c r="X58">
        <v>0.75350600000000001</v>
      </c>
      <c r="Y58">
        <v>0</v>
      </c>
      <c r="Z58">
        <v>0.751745</v>
      </c>
      <c r="AB58">
        <v>178.25</v>
      </c>
      <c r="AC58">
        <v>2.2999999999999998</v>
      </c>
      <c r="AD58">
        <v>4</v>
      </c>
      <c r="AE58" t="s">
        <v>29</v>
      </c>
    </row>
  </sheetData>
  <autoFilter ref="A2:AE58" xr:uid="{B525D399-F4D5-45F0-8B82-D4C7EE7CED31}"/>
  <mergeCells count="4">
    <mergeCell ref="C1:O1"/>
    <mergeCell ref="P1:S1"/>
    <mergeCell ref="T1:Z1"/>
    <mergeCell ref="AB1:AE1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7447674-5de3-4c92-a69b-ff20baefdff4" xsi:nil="true"/>
    <lcf76f155ced4ddcb4097134ff3c332f xmlns="d241db06-5dde-4be6-9550-6c115c7cdae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7A8B7670A8FC4BBF75B7BDE4B1CED0" ma:contentTypeVersion="13" ma:contentTypeDescription="Create a new document." ma:contentTypeScope="" ma:versionID="0e251efe81562b25769525bbf00309dc">
  <xsd:schema xmlns:xsd="http://www.w3.org/2001/XMLSchema" xmlns:xs="http://www.w3.org/2001/XMLSchema" xmlns:p="http://schemas.microsoft.com/office/2006/metadata/properties" xmlns:ns2="d241db06-5dde-4be6-9550-6c115c7cdae8" xmlns:ns3="57447674-5de3-4c92-a69b-ff20baefdff4" targetNamespace="http://schemas.microsoft.com/office/2006/metadata/properties" ma:root="true" ma:fieldsID="8e66ea4e4d81564108e989368330e67c" ns2:_="" ns3:_="">
    <xsd:import namespace="d241db06-5dde-4be6-9550-6c115c7cdae8"/>
    <xsd:import namespace="57447674-5de3-4c92-a69b-ff20baefdf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41db06-5dde-4be6-9550-6c115c7cda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6ca3fc6-7dbe-42ce-9a9c-533506b5a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447674-5de3-4c92-a69b-ff20baefdff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3d30a8-3094-43fa-bc2a-3f2799444766}" ma:internalName="TaxCatchAll" ma:showField="CatchAllData" ma:web="57447674-5de3-4c92-a69b-ff20baefdf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9FF8CD-D569-4519-BF10-7CCDCFE5EF79}">
  <ds:schemaRefs>
    <ds:schemaRef ds:uri="http://schemas.openxmlformats.org/package/2006/metadata/core-properties"/>
    <ds:schemaRef ds:uri="http://purl.org/dc/elements/1.1/"/>
    <ds:schemaRef ds:uri="d241db06-5dde-4be6-9550-6c115c7cdae8"/>
    <ds:schemaRef ds:uri="57447674-5de3-4c92-a69b-ff20baefdff4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12B97D2-0A81-4A8F-8993-42BFE24997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A2EA07-2B5C-4026-95F9-BCC5EBC9E5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41db06-5dde-4be6-9550-6c115c7cdae8"/>
    <ds:schemaRef ds:uri="57447674-5de3-4c92-a69b-ff20baefdf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data</vt:lpstr>
      <vt:lpstr>data_CLEAN</vt:lpstr>
      <vt:lpstr>data_SCORING</vt:lpstr>
      <vt:lpstr>data_MAPPING</vt:lpstr>
      <vt:lpstr>report</vt:lpstr>
      <vt:lpstr>SCORE_METHOD</vt:lpstr>
      <vt:lpstr>corridor_miles</vt:lpstr>
      <vt:lpstr>MultimodalConnectivity_Corridor</vt:lpstr>
      <vt:lpstr>data with previous weighted avg</vt:lpstr>
      <vt:lpstr>Database</vt:lpstr>
    </vt:vector>
  </TitlesOfParts>
  <Manager/>
  <Company>HNTB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Analisa Alicea Ruiz</dc:creator>
  <cp:keywords/>
  <dc:description/>
  <cp:lastModifiedBy>Maz Kamali</cp:lastModifiedBy>
  <cp:revision/>
  <dcterms:created xsi:type="dcterms:W3CDTF">2024-10-21T21:39:33Z</dcterms:created>
  <dcterms:modified xsi:type="dcterms:W3CDTF">2024-12-17T16:03:55Z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0x010100DD7A8B7670A8FC4BBF75B7BDE4B1CED0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</Properties>
</file>